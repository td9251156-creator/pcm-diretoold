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Mestr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Organização" sheetId="3" state="visible" r:id="rId3"/>
    <sheet xmlns:r="http://schemas.openxmlformats.org/officeDocument/2006/relationships" name="Pessoas" sheetId="4" state="visible" r:id="rId4"/>
    <sheet xmlns:r="http://schemas.openxmlformats.org/officeDocument/2006/relationships" name="Requisito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cad_org_nome">'Organização'!$B$7</definedName>
    <definedName name="cad_referencial">'Organização'!$B$8</definedName>
    <definedName name="cad_prefixo">'Organização'!$B$9</definedName>
    <definedName name="cad_meta_disponibilidade">'Organização'!$B$12</definedName>
    <definedName name="cad_pessoa_id">'Pessoas'!$A$7:$A$66</definedName>
    <definedName name="cad_pessoa_nome">'Pessoas'!$B$7:$B$66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tipo_documento">'Listas'!$A$7:$A$16</definedName>
    <definedName name="lst_situacao_documento">'Listas'!$C$7:$C$16</definedName>
    <definedName name="lst_sim_nao">'Listas'!$E$7:$E$8</definedName>
    <definedName name="lst_status_requisito">'Listas'!$G$7:$G$8</definedName>
    <definedName name="_xlnm._FilterDatabase" localSheetId="0" hidden="1">'Lista Mestra'!$A$6:$K$56</definedName>
    <definedName name="_xlnm.Print_Titles" localSheetId="0">'Lista Mestra'!$1:$6</definedName>
    <definedName name="_xlnm.Print_Area" localSheetId="0">'Lista Mestra'!$A$1:$K$13</definedName>
    <definedName name="_xlnm._FilterDatabase" localSheetId="1" hidden="1">'Revisões'!$A$6:$E$106</definedName>
    <definedName name="_xlnm.Print_Titles" localSheetId="1">'Revisões'!$1:$6</definedName>
    <definedName name="_xlnm.Print_Area" localSheetId="1">'Revisões'!$A$1:$E$26</definedName>
    <definedName name="_xlnm.Print_Area" localSheetId="2">'Organização'!$A$1:$D$12</definedName>
    <definedName name="_xlnm._FilterDatabase" localSheetId="3" hidden="1">'Pessoas'!$A$6:$F$66</definedName>
    <definedName name="_xlnm.Print_Titles" localSheetId="3">'Pessoas'!$1:$6</definedName>
    <definedName name="_xlnm.Print_Area" localSheetId="3">'Pessoas'!$A$1:$F$21</definedName>
    <definedName name="_xlnm._FilterDatabase" localSheetId="4" hidden="1">'Requisitos'!$A$6:$G$66</definedName>
    <definedName name="_xlnm.Print_Titles" localSheetId="4">'Requisitos'!$1:$6</definedName>
    <definedName name="_xlnm.Print_Area" localSheetId="4">'Requisitos'!$A$1:$G$18</definedName>
    <definedName name="_xlnm.Print_Area" localSheetId="5">'Config'!$A$1:$F$34</definedName>
    <definedName name="_xlnm.Print_Titles" localSheetId="6">'Listas'!$1:$6</definedName>
    <definedName name="_xlnm.Print_Area" localSheetId="6">'Listas'!$A$1:$I$10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3B6E9C"/>
      <sz val="9"/>
    </font>
    <font>
      <name val="Arial"/>
      <color rgb="0064717D"/>
      <sz val="8.5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2" fillId="0" borderId="3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 wrapText="1"/>
    </xf>
    <xf numFmtId="0" fontId="0" fillId="2" borderId="8" pivotButton="0" quotePrefix="0" xfId="0"/>
    <xf numFmtId="0" fontId="0" fillId="2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49" fontId="6" fillId="0" borderId="11" applyAlignment="1" applyProtection="1" pivotButton="0" quotePrefix="0" xfId="0">
      <alignment horizontal="center" vertical="center"/>
      <protection locked="0" hidden="0"/>
    </xf>
    <xf numFmtId="49" fontId="6" fillId="0" borderId="11" applyAlignment="1" applyProtection="1" pivotButton="0" quotePrefix="0" xfId="0">
      <alignment horizontal="left" vertical="center" wrapText="1" indent="1"/>
      <protection locked="0" hidden="0"/>
    </xf>
    <xf numFmtId="49" fontId="6" fillId="0" borderId="11" applyAlignment="1" applyProtection="1" pivotButton="0" quotePrefix="0" xfId="0">
      <alignment horizontal="left" vertical="center" indent="1"/>
      <protection locked="0" hidden="0"/>
    </xf>
    <xf numFmtId="164" fontId="6" fillId="0" borderId="11" applyAlignment="1" applyProtection="1" pivotButton="0" quotePrefix="0" xfId="0">
      <alignment horizontal="center" vertical="center"/>
      <protection locked="0" hidden="0"/>
    </xf>
    <xf numFmtId="0" fontId="7" fillId="0" borderId="11" applyAlignment="1" pivotButton="0" quotePrefix="0" xfId="0">
      <alignment horizontal="left" vertical="center" indent="1"/>
    </xf>
    <xf numFmtId="0" fontId="1" fillId="0" borderId="12" applyAlignment="1" pivotButton="0" quotePrefix="0" xfId="0">
      <alignment horizontal="center" vertical="bottom"/>
    </xf>
    <xf numFmtId="0" fontId="2" fillId="0" borderId="13" applyAlignment="1" pivotButton="0" quotePrefix="0" xfId="0">
      <alignment horizontal="center" vertical="top" wrapText="1"/>
    </xf>
    <xf numFmtId="0" fontId="0" fillId="0" borderId="12" pivotButton="0" quotePrefix="0" xfId="0"/>
    <xf numFmtId="0" fontId="0" fillId="0" borderId="13" pivotButton="0" quotePrefix="0" xfId="0"/>
    <xf numFmtId="0" fontId="6" fillId="5" borderId="11" applyAlignment="1" pivotButton="0" quotePrefix="0" xfId="0">
      <alignment vertical="center" wrapText="1" indent="1"/>
    </xf>
    <xf numFmtId="49" fontId="8" fillId="6" borderId="11" applyAlignment="1" applyProtection="1" pivotButton="0" quotePrefix="0" xfId="0">
      <alignment vertical="center" wrapText="1" indent="1"/>
      <protection locked="0" hidden="0"/>
    </xf>
    <xf numFmtId="0" fontId="7" fillId="5" borderId="11" applyAlignment="1" pivotButton="0" quotePrefix="0" xfId="0">
      <alignment vertical="center" wrapText="1" indent="1"/>
    </xf>
    <xf numFmtId="0" fontId="9" fillId="0" borderId="11" applyAlignment="1" pivotButton="0" quotePrefix="0" xfId="0">
      <alignment vertical="center" wrapText="1" indent="1"/>
    </xf>
    <xf numFmtId="165" fontId="8" fillId="6" borderId="11" applyAlignment="1" applyProtection="1" pivotButton="0" quotePrefix="0" xfId="0">
      <alignment vertical="center" wrapText="1" indent="1"/>
      <protection locked="0" hidden="0"/>
    </xf>
    <xf numFmtId="165" fontId="7" fillId="5" borderId="11" applyAlignment="1" pivotButton="0" quotePrefix="0" xfId="0">
      <alignment vertical="center" wrapText="1" indent="1"/>
    </xf>
    <xf numFmtId="0" fontId="7" fillId="0" borderId="11" applyAlignment="1" pivotButton="0" quotePrefix="0" xfId="0">
      <alignment horizontal="left" vertical="center" wrapText="1" indent="1"/>
    </xf>
    <xf numFmtId="0" fontId="10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6" fillId="0" borderId="17" applyAlignment="1" pivotButton="0" quotePrefix="0" xfId="0">
      <alignment vertical="center" wrapText="1" indent="1"/>
    </xf>
    <xf numFmtId="0" fontId="0" fillId="0" borderId="18" pivotButton="0" quotePrefix="0" xfId="0"/>
    <xf numFmtId="0" fontId="0" fillId="0" borderId="19" pivotButton="0" quotePrefix="0" xfId="0"/>
    <xf numFmtId="0" fontId="11" fillId="0" borderId="11" applyAlignment="1" pivotButton="0" quotePrefix="0" xfId="0">
      <alignment vertical="center" indent="1"/>
    </xf>
    <xf numFmtId="0" fontId="0" fillId="0" borderId="10" pivotButton="0" quotePrefix="0" xfId="0"/>
    <xf numFmtId="0" fontId="0" fillId="0" borderId="11" pivotButton="0" quotePrefix="0" xfId="0"/>
    <xf numFmtId="49" fontId="8" fillId="6" borderId="11" applyAlignment="1" applyProtection="1" pivotButton="0" quotePrefix="0" xfId="0">
      <alignment horizontal="left" vertical="center" wrapText="1" indent="1"/>
      <protection locked="0" hidden="0"/>
    </xf>
    <xf numFmtId="0" fontId="12" fillId="0" borderId="0" applyAlignment="1" pivotButton="0" quotePrefix="0" xfId="0">
      <alignment vertical="center" indent="1"/>
    </xf>
    <xf numFmtId="0" fontId="7" fillId="5" borderId="11" applyAlignment="1" pivotButton="0" quotePrefix="0" xfId="0">
      <alignment horizontal="left" vertical="center" indent="1"/>
    </xf>
    <xf numFmtId="164" fontId="7" fillId="5" borderId="11" applyAlignment="1" pivotButton="0" quotePrefix="0" xfId="0">
      <alignment horizontal="left" vertical="center" indent="1"/>
    </xf>
    <xf numFmtId="164" fontId="8" fillId="6" borderId="11" applyAlignment="1" applyProtection="1" pivotButton="0" quotePrefix="0" xfId="0">
      <alignment horizontal="left" vertical="center" wrapText="1" indent="1"/>
      <protection locked="0" hidden="0"/>
    </xf>
    <xf numFmtId="0" fontId="6" fillId="0" borderId="11" applyAlignment="1" pivotButton="0" quotePrefix="0" xfId="0">
      <alignment horizontal="left" vertical="center" indent="1"/>
    </xf>
    <xf numFmtId="1" fontId="7" fillId="0" borderId="1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6" fillId="0" borderId="11" applyAlignment="1" pivotButton="0" quotePrefix="0" xfId="0">
      <alignment vertical="center" indent="1"/>
    </xf>
  </cellXfs>
  <cellStyles count="1">
    <cellStyle name="Normal" xfId="0" builtinId="0" hidden="0"/>
  </cellStyles>
  <dxfs count="4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8115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288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390525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0980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0" customWidth="1" min="4" max="4"/>
    <col width="14" customWidth="1" min="5" max="5"/>
    <col width="15" customWidth="1" min="6" max="6"/>
    <col width="15" customWidth="1" min="7" max="7"/>
    <col width="14" customWidth="1" min="8" max="8"/>
    <col width="15" customWidth="1" min="9" max="9"/>
    <col width="24" customWidth="1" min="10" max="10"/>
    <col width="20" customWidth="1" min="11" max="11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Lista mestra de documentos</t>
          </r>
        </is>
      </c>
      <c r="D1" s="4" t="n"/>
      <c r="E1" s="4" t="n"/>
      <c r="F1" s="4" t="n"/>
      <c r="G1" s="4" t="n"/>
      <c r="H1" s="4" t="n"/>
      <c r="I1" s="2" t="n"/>
      <c r="J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2" t="n"/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7" t="n"/>
      <c r="J2" s="9">
        <f>"Elaborado: "&amp;IF(cfg_elaborado="","A definir",cfg_elaborado)&amp;"   ·   Aprovado: "&amp;IF(cfg_aprovado="","A definir",cfg_aprovado)</f>
        <v/>
      </c>
      <c r="K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DOCUMENTO</t>
        </is>
      </c>
      <c r="B5" s="12" t="n"/>
      <c r="C5" s="13" t="n"/>
      <c r="D5" s="11" t="inlineStr">
        <is>
          <t>REVISÃO</t>
        </is>
      </c>
      <c r="E5" s="12" t="n"/>
      <c r="F5" s="12" t="n"/>
      <c r="G5" s="12" t="n"/>
      <c r="H5" s="13" t="n"/>
      <c r="I5" s="11" t="inlineStr">
        <is>
          <t>SITUAÇÃO</t>
        </is>
      </c>
      <c r="J5" s="12" t="n"/>
      <c r="K5" s="13" t="n"/>
    </row>
    <row r="6" ht="24" customHeight="1">
      <c r="A6" s="14" t="inlineStr">
        <is>
          <t>Código</t>
        </is>
      </c>
      <c r="B6" s="14" t="inlineStr">
        <is>
          <t>Título</t>
        </is>
      </c>
      <c r="C6" s="14" t="inlineStr">
        <is>
          <t>Tipo</t>
        </is>
      </c>
      <c r="D6" s="14" t="inlineStr">
        <is>
          <t>Revisão</t>
        </is>
      </c>
      <c r="E6" s="14" t="inlineStr">
        <is>
          <t>Data da revisão</t>
        </is>
      </c>
      <c r="F6" s="14" t="inlineStr">
        <is>
          <t>Elaborador</t>
        </is>
      </c>
      <c r="G6" s="14" t="inlineStr">
        <is>
          <t>Aprovador</t>
        </is>
      </c>
      <c r="H6" s="14" t="inlineStr">
        <is>
          <t>Próxima revisão</t>
        </is>
      </c>
      <c r="I6" s="14" t="inlineStr">
        <is>
          <t>Situação</t>
        </is>
      </c>
      <c r="J6" s="15" t="inlineStr">
        <is>
          <t>Conferência</t>
        </is>
      </c>
      <c r="K6" s="14" t="inlineStr">
        <is>
          <t>Observação</t>
        </is>
      </c>
    </row>
    <row r="7">
      <c r="A7" s="16" t="inlineStr">
        <is>
          <t>PCMD-01</t>
        </is>
      </c>
      <c r="B7" s="17" t="inlineStr">
        <is>
          <t>Lista mestra de documentos</t>
        </is>
      </c>
      <c r="C7" s="18" t="inlineStr">
        <is>
          <t>Planilha (XLSX)</t>
        </is>
      </c>
      <c r="D7" s="16" t="n"/>
      <c r="E7" s="19" t="n"/>
      <c r="F7" s="18" t="n"/>
      <c r="G7" s="18" t="n"/>
      <c r="H7" s="19" t="n"/>
      <c r="I7" s="18" t="n"/>
      <c r="J7" s="20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18" t="n"/>
    </row>
    <row r="8">
      <c r="A8" s="16" t="inlineStr">
        <is>
          <t>PCMD-02</t>
        </is>
      </c>
      <c r="B8" s="17" t="inlineStr">
        <is>
          <t>Ativos e criticidade</t>
        </is>
      </c>
      <c r="C8" s="18" t="inlineStr">
        <is>
          <t>Planilha (XLSX)</t>
        </is>
      </c>
      <c r="D8" s="16" t="n"/>
      <c r="E8" s="19" t="n"/>
      <c r="F8" s="18" t="n"/>
      <c r="G8" s="18" t="n"/>
      <c r="H8" s="19" t="n"/>
      <c r="I8" s="18" t="n"/>
      <c r="J8" s="20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18" t="n"/>
    </row>
    <row r="9">
      <c r="A9" s="16" t="inlineStr">
        <is>
          <t>PCMD-03</t>
        </is>
      </c>
      <c r="B9" s="17" t="inlineStr">
        <is>
          <t>Plano mestre de manutenção</t>
        </is>
      </c>
      <c r="C9" s="18" t="inlineStr">
        <is>
          <t>Planilha (XLSX)</t>
        </is>
      </c>
      <c r="D9" s="16" t="n"/>
      <c r="E9" s="19" t="n"/>
      <c r="F9" s="18" t="n"/>
      <c r="G9" s="18" t="n"/>
      <c r="H9" s="19" t="n"/>
      <c r="I9" s="18" t="n"/>
      <c r="J9" s="20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18" t="n"/>
    </row>
    <row r="10">
      <c r="A10" s="16" t="inlineStr">
        <is>
          <t>PCMD-04</t>
        </is>
      </c>
      <c r="B10" s="17" t="inlineStr">
        <is>
          <t>Cronograma e acompanhamento mensal</t>
        </is>
      </c>
      <c r="C10" s="18" t="inlineStr">
        <is>
          <t>Planilha (XLSX)</t>
        </is>
      </c>
      <c r="D10" s="16" t="n"/>
      <c r="E10" s="19" t="n"/>
      <c r="F10" s="18" t="n"/>
      <c r="G10" s="18" t="n"/>
      <c r="H10" s="19" t="n"/>
      <c r="I10" s="18" t="n"/>
      <c r="J10" s="20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18" t="n"/>
    </row>
    <row r="11">
      <c r="A11" s="16" t="inlineStr">
        <is>
          <t>PCMD-05</t>
        </is>
      </c>
      <c r="B11" s="17" t="inlineStr">
        <is>
          <t>Ficha de falha</t>
        </is>
      </c>
      <c r="C11" s="18" t="inlineStr">
        <is>
          <t>Planilha (XLSX)</t>
        </is>
      </c>
      <c r="D11" s="16" t="n"/>
      <c r="E11" s="19" t="n"/>
      <c r="F11" s="18" t="n"/>
      <c r="G11" s="18" t="n"/>
      <c r="H11" s="19" t="n"/>
      <c r="I11" s="18" t="n"/>
      <c r="J11" s="20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18" t="n"/>
    </row>
    <row r="12">
      <c r="A12" s="16" t="inlineStr">
        <is>
          <t>PCMD-W1</t>
        </is>
      </c>
      <c r="B12" s="17" t="inlineStr">
        <is>
          <t>Manual de Gestão de Ativos</t>
        </is>
      </c>
      <c r="C12" s="18" t="inlineStr">
        <is>
          <t>Manual (DOCX)</t>
        </is>
      </c>
      <c r="D12" s="16" t="n"/>
      <c r="E12" s="19" t="n"/>
      <c r="F12" s="18" t="n"/>
      <c r="G12" s="18" t="n"/>
      <c r="H12" s="19" t="n"/>
      <c r="I12" s="18" t="n"/>
      <c r="J12" s="20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18" t="n"/>
    </row>
    <row r="13">
      <c r="A13" s="16" t="inlineStr">
        <is>
          <t>PCMD-W2</t>
        </is>
      </c>
      <c r="B13" s="17" t="inlineStr">
        <is>
          <t>Manual de Estratégia de Manutenção</t>
        </is>
      </c>
      <c r="C13" s="18" t="inlineStr">
        <is>
          <t>Manual (DOCX)</t>
        </is>
      </c>
      <c r="D13" s="16" t="n"/>
      <c r="E13" s="19" t="n"/>
      <c r="F13" s="18" t="n"/>
      <c r="G13" s="18" t="n"/>
      <c r="H13" s="19" t="n"/>
      <c r="I13" s="18" t="n"/>
      <c r="J13" s="20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18" t="n"/>
    </row>
    <row r="14">
      <c r="A14" s="16" t="n"/>
      <c r="B14" s="17" t="n"/>
      <c r="C14" s="18" t="n"/>
      <c r="D14" s="16" t="n"/>
      <c r="E14" s="19" t="n"/>
      <c r="F14" s="18" t="n"/>
      <c r="G14" s="18" t="n"/>
      <c r="H14" s="19" t="n"/>
      <c r="I14" s="18" t="n"/>
      <c r="J14" s="20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18" t="n"/>
    </row>
    <row r="15">
      <c r="A15" s="16" t="n"/>
      <c r="B15" s="17" t="n"/>
      <c r="C15" s="18" t="n"/>
      <c r="D15" s="16" t="n"/>
      <c r="E15" s="19" t="n"/>
      <c r="F15" s="18" t="n"/>
      <c r="G15" s="18" t="n"/>
      <c r="H15" s="19" t="n"/>
      <c r="I15" s="18" t="n"/>
      <c r="J15" s="20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18" t="n"/>
    </row>
    <row r="16">
      <c r="A16" s="16" t="n"/>
      <c r="B16" s="17" t="n"/>
      <c r="C16" s="18" t="n"/>
      <c r="D16" s="16" t="n"/>
      <c r="E16" s="19" t="n"/>
      <c r="F16" s="18" t="n"/>
      <c r="G16" s="18" t="n"/>
      <c r="H16" s="19" t="n"/>
      <c r="I16" s="18" t="n"/>
      <c r="J16" s="20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18" t="n"/>
    </row>
    <row r="17">
      <c r="A17" s="16" t="n"/>
      <c r="B17" s="17" t="n"/>
      <c r="C17" s="18" t="n"/>
      <c r="D17" s="16" t="n"/>
      <c r="E17" s="19" t="n"/>
      <c r="F17" s="18" t="n"/>
      <c r="G17" s="18" t="n"/>
      <c r="H17" s="19" t="n"/>
      <c r="I17" s="18" t="n"/>
      <c r="J17" s="20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18" t="n"/>
    </row>
    <row r="18">
      <c r="A18" s="16" t="n"/>
      <c r="B18" s="17" t="n"/>
      <c r="C18" s="18" t="n"/>
      <c r="D18" s="16" t="n"/>
      <c r="E18" s="19" t="n"/>
      <c r="F18" s="18" t="n"/>
      <c r="G18" s="18" t="n"/>
      <c r="H18" s="19" t="n"/>
      <c r="I18" s="18" t="n"/>
      <c r="J18" s="20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18" t="n"/>
    </row>
    <row r="19">
      <c r="A19" s="16" t="n"/>
      <c r="B19" s="17" t="n"/>
      <c r="C19" s="18" t="n"/>
      <c r="D19" s="16" t="n"/>
      <c r="E19" s="19" t="n"/>
      <c r="F19" s="18" t="n"/>
      <c r="G19" s="18" t="n"/>
      <c r="H19" s="19" t="n"/>
      <c r="I19" s="18" t="n"/>
      <c r="J19" s="20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18" t="n"/>
    </row>
    <row r="20">
      <c r="A20" s="16" t="n"/>
      <c r="B20" s="17" t="n"/>
      <c r="C20" s="18" t="n"/>
      <c r="D20" s="16" t="n"/>
      <c r="E20" s="19" t="n"/>
      <c r="F20" s="18" t="n"/>
      <c r="G20" s="18" t="n"/>
      <c r="H20" s="19" t="n"/>
      <c r="I20" s="18" t="n"/>
      <c r="J20" s="20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18" t="n"/>
    </row>
    <row r="21">
      <c r="A21" s="16" t="n"/>
      <c r="B21" s="17" t="n"/>
      <c r="C21" s="18" t="n"/>
      <c r="D21" s="16" t="n"/>
      <c r="E21" s="19" t="n"/>
      <c r="F21" s="18" t="n"/>
      <c r="G21" s="18" t="n"/>
      <c r="H21" s="19" t="n"/>
      <c r="I21" s="18" t="n"/>
      <c r="J21" s="20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18" t="n"/>
    </row>
    <row r="22">
      <c r="A22" s="16" t="n"/>
      <c r="B22" s="17" t="n"/>
      <c r="C22" s="18" t="n"/>
      <c r="D22" s="16" t="n"/>
      <c r="E22" s="19" t="n"/>
      <c r="F22" s="18" t="n"/>
      <c r="G22" s="18" t="n"/>
      <c r="H22" s="19" t="n"/>
      <c r="I22" s="18" t="n"/>
      <c r="J22" s="20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18" t="n"/>
    </row>
    <row r="23">
      <c r="A23" s="16" t="n"/>
      <c r="B23" s="17" t="n"/>
      <c r="C23" s="18" t="n"/>
      <c r="D23" s="16" t="n"/>
      <c r="E23" s="19" t="n"/>
      <c r="F23" s="18" t="n"/>
      <c r="G23" s="18" t="n"/>
      <c r="H23" s="19" t="n"/>
      <c r="I23" s="18" t="n"/>
      <c r="J23" s="20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18" t="n"/>
    </row>
    <row r="24">
      <c r="A24" s="16" t="n"/>
      <c r="B24" s="17" t="n"/>
      <c r="C24" s="18" t="n"/>
      <c r="D24" s="16" t="n"/>
      <c r="E24" s="19" t="n"/>
      <c r="F24" s="18" t="n"/>
      <c r="G24" s="18" t="n"/>
      <c r="H24" s="19" t="n"/>
      <c r="I24" s="18" t="n"/>
      <c r="J24" s="20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18" t="n"/>
    </row>
    <row r="25">
      <c r="A25" s="16" t="n"/>
      <c r="B25" s="17" t="n"/>
      <c r="C25" s="18" t="n"/>
      <c r="D25" s="16" t="n"/>
      <c r="E25" s="19" t="n"/>
      <c r="F25" s="18" t="n"/>
      <c r="G25" s="18" t="n"/>
      <c r="H25" s="19" t="n"/>
      <c r="I25" s="18" t="n"/>
      <c r="J25" s="20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18" t="n"/>
    </row>
    <row r="26">
      <c r="A26" s="16" t="n"/>
      <c r="B26" s="17" t="n"/>
      <c r="C26" s="18" t="n"/>
      <c r="D26" s="16" t="n"/>
      <c r="E26" s="19" t="n"/>
      <c r="F26" s="18" t="n"/>
      <c r="G26" s="18" t="n"/>
      <c r="H26" s="19" t="n"/>
      <c r="I26" s="18" t="n"/>
      <c r="J26" s="20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18" t="n"/>
    </row>
    <row r="27">
      <c r="A27" s="16" t="n"/>
      <c r="B27" s="17" t="n"/>
      <c r="C27" s="18" t="n"/>
      <c r="D27" s="16" t="n"/>
      <c r="E27" s="19" t="n"/>
      <c r="F27" s="18" t="n"/>
      <c r="G27" s="18" t="n"/>
      <c r="H27" s="19" t="n"/>
      <c r="I27" s="18" t="n"/>
      <c r="J27" s="20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18" t="n"/>
    </row>
    <row r="28">
      <c r="A28" s="16" t="n"/>
      <c r="B28" s="17" t="n"/>
      <c r="C28" s="18" t="n"/>
      <c r="D28" s="16" t="n"/>
      <c r="E28" s="19" t="n"/>
      <c r="F28" s="18" t="n"/>
      <c r="G28" s="18" t="n"/>
      <c r="H28" s="19" t="n"/>
      <c r="I28" s="18" t="n"/>
      <c r="J28" s="20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18" t="n"/>
    </row>
    <row r="29">
      <c r="A29" s="16" t="n"/>
      <c r="B29" s="17" t="n"/>
      <c r="C29" s="18" t="n"/>
      <c r="D29" s="16" t="n"/>
      <c r="E29" s="19" t="n"/>
      <c r="F29" s="18" t="n"/>
      <c r="G29" s="18" t="n"/>
      <c r="H29" s="19" t="n"/>
      <c r="I29" s="18" t="n"/>
      <c r="J29" s="20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18" t="n"/>
    </row>
    <row r="30">
      <c r="A30" s="16" t="n"/>
      <c r="B30" s="17" t="n"/>
      <c r="C30" s="18" t="n"/>
      <c r="D30" s="16" t="n"/>
      <c r="E30" s="19" t="n"/>
      <c r="F30" s="18" t="n"/>
      <c r="G30" s="18" t="n"/>
      <c r="H30" s="19" t="n"/>
      <c r="I30" s="18" t="n"/>
      <c r="J30" s="20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18" t="n"/>
    </row>
    <row r="31">
      <c r="A31" s="16" t="n"/>
      <c r="B31" s="17" t="n"/>
      <c r="C31" s="18" t="n"/>
      <c r="D31" s="16" t="n"/>
      <c r="E31" s="19" t="n"/>
      <c r="F31" s="18" t="n"/>
      <c r="G31" s="18" t="n"/>
      <c r="H31" s="19" t="n"/>
      <c r="I31" s="18" t="n"/>
      <c r="J31" s="20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18" t="n"/>
    </row>
    <row r="32">
      <c r="A32" s="16" t="n"/>
      <c r="B32" s="17" t="n"/>
      <c r="C32" s="18" t="n"/>
      <c r="D32" s="16" t="n"/>
      <c r="E32" s="19" t="n"/>
      <c r="F32" s="18" t="n"/>
      <c r="G32" s="18" t="n"/>
      <c r="H32" s="19" t="n"/>
      <c r="I32" s="18" t="n"/>
      <c r="J32" s="20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18" t="n"/>
    </row>
    <row r="33">
      <c r="A33" s="16" t="n"/>
      <c r="B33" s="17" t="n"/>
      <c r="C33" s="18" t="n"/>
      <c r="D33" s="16" t="n"/>
      <c r="E33" s="19" t="n"/>
      <c r="F33" s="18" t="n"/>
      <c r="G33" s="18" t="n"/>
      <c r="H33" s="19" t="n"/>
      <c r="I33" s="18" t="n"/>
      <c r="J33" s="20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18" t="n"/>
    </row>
    <row r="34">
      <c r="A34" s="16" t="n"/>
      <c r="B34" s="17" t="n"/>
      <c r="C34" s="18" t="n"/>
      <c r="D34" s="16" t="n"/>
      <c r="E34" s="19" t="n"/>
      <c r="F34" s="18" t="n"/>
      <c r="G34" s="18" t="n"/>
      <c r="H34" s="19" t="n"/>
      <c r="I34" s="18" t="n"/>
      <c r="J34" s="20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18" t="n"/>
    </row>
    <row r="35">
      <c r="A35" s="16" t="n"/>
      <c r="B35" s="17" t="n"/>
      <c r="C35" s="18" t="n"/>
      <c r="D35" s="16" t="n"/>
      <c r="E35" s="19" t="n"/>
      <c r="F35" s="18" t="n"/>
      <c r="G35" s="18" t="n"/>
      <c r="H35" s="19" t="n"/>
      <c r="I35" s="18" t="n"/>
      <c r="J35" s="20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18" t="n"/>
    </row>
    <row r="36">
      <c r="A36" s="16" t="n"/>
      <c r="B36" s="17" t="n"/>
      <c r="C36" s="18" t="n"/>
      <c r="D36" s="16" t="n"/>
      <c r="E36" s="19" t="n"/>
      <c r="F36" s="18" t="n"/>
      <c r="G36" s="18" t="n"/>
      <c r="H36" s="19" t="n"/>
      <c r="I36" s="18" t="n"/>
      <c r="J36" s="20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18" t="n"/>
    </row>
    <row r="37">
      <c r="A37" s="16" t="n"/>
      <c r="B37" s="17" t="n"/>
      <c r="C37" s="18" t="n"/>
      <c r="D37" s="16" t="n"/>
      <c r="E37" s="19" t="n"/>
      <c r="F37" s="18" t="n"/>
      <c r="G37" s="18" t="n"/>
      <c r="H37" s="19" t="n"/>
      <c r="I37" s="18" t="n"/>
      <c r="J37" s="20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18" t="n"/>
    </row>
    <row r="38">
      <c r="A38" s="16" t="n"/>
      <c r="B38" s="17" t="n"/>
      <c r="C38" s="18" t="n"/>
      <c r="D38" s="16" t="n"/>
      <c r="E38" s="19" t="n"/>
      <c r="F38" s="18" t="n"/>
      <c r="G38" s="18" t="n"/>
      <c r="H38" s="19" t="n"/>
      <c r="I38" s="18" t="n"/>
      <c r="J38" s="20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18" t="n"/>
    </row>
    <row r="39">
      <c r="A39" s="16" t="n"/>
      <c r="B39" s="17" t="n"/>
      <c r="C39" s="18" t="n"/>
      <c r="D39" s="16" t="n"/>
      <c r="E39" s="19" t="n"/>
      <c r="F39" s="18" t="n"/>
      <c r="G39" s="18" t="n"/>
      <c r="H39" s="19" t="n"/>
      <c r="I39" s="18" t="n"/>
      <c r="J39" s="20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18" t="n"/>
    </row>
    <row r="40">
      <c r="A40" s="16" t="n"/>
      <c r="B40" s="17" t="n"/>
      <c r="C40" s="18" t="n"/>
      <c r="D40" s="16" t="n"/>
      <c r="E40" s="19" t="n"/>
      <c r="F40" s="18" t="n"/>
      <c r="G40" s="18" t="n"/>
      <c r="H40" s="19" t="n"/>
      <c r="I40" s="18" t="n"/>
      <c r="J40" s="20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18" t="n"/>
    </row>
    <row r="41">
      <c r="A41" s="16" t="n"/>
      <c r="B41" s="17" t="n"/>
      <c r="C41" s="18" t="n"/>
      <c r="D41" s="16" t="n"/>
      <c r="E41" s="19" t="n"/>
      <c r="F41" s="18" t="n"/>
      <c r="G41" s="18" t="n"/>
      <c r="H41" s="19" t="n"/>
      <c r="I41" s="18" t="n"/>
      <c r="J41" s="20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18" t="n"/>
    </row>
    <row r="42">
      <c r="A42" s="16" t="n"/>
      <c r="B42" s="17" t="n"/>
      <c r="C42" s="18" t="n"/>
      <c r="D42" s="16" t="n"/>
      <c r="E42" s="19" t="n"/>
      <c r="F42" s="18" t="n"/>
      <c r="G42" s="18" t="n"/>
      <c r="H42" s="19" t="n"/>
      <c r="I42" s="18" t="n"/>
      <c r="J42" s="20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18" t="n"/>
    </row>
    <row r="43">
      <c r="A43" s="16" t="n"/>
      <c r="B43" s="17" t="n"/>
      <c r="C43" s="18" t="n"/>
      <c r="D43" s="16" t="n"/>
      <c r="E43" s="19" t="n"/>
      <c r="F43" s="18" t="n"/>
      <c r="G43" s="18" t="n"/>
      <c r="H43" s="19" t="n"/>
      <c r="I43" s="18" t="n"/>
      <c r="J43" s="20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18" t="n"/>
    </row>
    <row r="44">
      <c r="A44" s="16" t="n"/>
      <c r="B44" s="17" t="n"/>
      <c r="C44" s="18" t="n"/>
      <c r="D44" s="16" t="n"/>
      <c r="E44" s="19" t="n"/>
      <c r="F44" s="18" t="n"/>
      <c r="G44" s="18" t="n"/>
      <c r="H44" s="19" t="n"/>
      <c r="I44" s="18" t="n"/>
      <c r="J44" s="20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18" t="n"/>
    </row>
    <row r="45">
      <c r="A45" s="16" t="n"/>
      <c r="B45" s="17" t="n"/>
      <c r="C45" s="18" t="n"/>
      <c r="D45" s="16" t="n"/>
      <c r="E45" s="19" t="n"/>
      <c r="F45" s="18" t="n"/>
      <c r="G45" s="18" t="n"/>
      <c r="H45" s="19" t="n"/>
      <c r="I45" s="18" t="n"/>
      <c r="J45" s="20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18" t="n"/>
    </row>
    <row r="46">
      <c r="A46" s="16" t="n"/>
      <c r="B46" s="17" t="n"/>
      <c r="C46" s="18" t="n"/>
      <c r="D46" s="16" t="n"/>
      <c r="E46" s="19" t="n"/>
      <c r="F46" s="18" t="n"/>
      <c r="G46" s="18" t="n"/>
      <c r="H46" s="19" t="n"/>
      <c r="I46" s="18" t="n"/>
      <c r="J46" s="20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18" t="n"/>
    </row>
    <row r="47">
      <c r="A47" s="16" t="n"/>
      <c r="B47" s="17" t="n"/>
      <c r="C47" s="18" t="n"/>
      <c r="D47" s="16" t="n"/>
      <c r="E47" s="19" t="n"/>
      <c r="F47" s="18" t="n"/>
      <c r="G47" s="18" t="n"/>
      <c r="H47" s="19" t="n"/>
      <c r="I47" s="18" t="n"/>
      <c r="J47" s="20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18" t="n"/>
    </row>
    <row r="48">
      <c r="A48" s="16" t="n"/>
      <c r="B48" s="17" t="n"/>
      <c r="C48" s="18" t="n"/>
      <c r="D48" s="16" t="n"/>
      <c r="E48" s="19" t="n"/>
      <c r="F48" s="18" t="n"/>
      <c r="G48" s="18" t="n"/>
      <c r="H48" s="19" t="n"/>
      <c r="I48" s="18" t="n"/>
      <c r="J48" s="20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18" t="n"/>
    </row>
    <row r="49">
      <c r="A49" s="16" t="n"/>
      <c r="B49" s="17" t="n"/>
      <c r="C49" s="18" t="n"/>
      <c r="D49" s="16" t="n"/>
      <c r="E49" s="19" t="n"/>
      <c r="F49" s="18" t="n"/>
      <c r="G49" s="18" t="n"/>
      <c r="H49" s="19" t="n"/>
      <c r="I49" s="18" t="n"/>
      <c r="J49" s="20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18" t="n"/>
    </row>
    <row r="50">
      <c r="A50" s="16" t="n"/>
      <c r="B50" s="17" t="n"/>
      <c r="C50" s="18" t="n"/>
      <c r="D50" s="16" t="n"/>
      <c r="E50" s="19" t="n"/>
      <c r="F50" s="18" t="n"/>
      <c r="G50" s="18" t="n"/>
      <c r="H50" s="19" t="n"/>
      <c r="I50" s="18" t="n"/>
      <c r="J50" s="20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18" t="n"/>
    </row>
    <row r="51">
      <c r="A51" s="16" t="n"/>
      <c r="B51" s="17" t="n"/>
      <c r="C51" s="18" t="n"/>
      <c r="D51" s="16" t="n"/>
      <c r="E51" s="19" t="n"/>
      <c r="F51" s="18" t="n"/>
      <c r="G51" s="18" t="n"/>
      <c r="H51" s="19" t="n"/>
      <c r="I51" s="18" t="n"/>
      <c r="J51" s="20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18" t="n"/>
    </row>
    <row r="52">
      <c r="A52" s="16" t="n"/>
      <c r="B52" s="17" t="n"/>
      <c r="C52" s="18" t="n"/>
      <c r="D52" s="16" t="n"/>
      <c r="E52" s="19" t="n"/>
      <c r="F52" s="18" t="n"/>
      <c r="G52" s="18" t="n"/>
      <c r="H52" s="19" t="n"/>
      <c r="I52" s="18" t="n"/>
      <c r="J52" s="20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18" t="n"/>
    </row>
    <row r="53">
      <c r="A53" s="16" t="n"/>
      <c r="B53" s="17" t="n"/>
      <c r="C53" s="18" t="n"/>
      <c r="D53" s="16" t="n"/>
      <c r="E53" s="19" t="n"/>
      <c r="F53" s="18" t="n"/>
      <c r="G53" s="18" t="n"/>
      <c r="H53" s="19" t="n"/>
      <c r="I53" s="18" t="n"/>
      <c r="J53" s="20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18" t="n"/>
    </row>
    <row r="54">
      <c r="A54" s="16" t="n"/>
      <c r="B54" s="17" t="n"/>
      <c r="C54" s="18" t="n"/>
      <c r="D54" s="16" t="n"/>
      <c r="E54" s="19" t="n"/>
      <c r="F54" s="18" t="n"/>
      <c r="G54" s="18" t="n"/>
      <c r="H54" s="19" t="n"/>
      <c r="I54" s="18" t="n"/>
      <c r="J54" s="20">
        <f>IF(A54="","",IF(AND(ISNUMBER(E54),ISNUMBER(H54),H54&lt;E54),"Verificar: próxima revisão anterior à data",IF(AND(G54&lt;&gt;"",I54&lt;&gt;"Aprovado"),"Verificar: aprovador sem situação Aprovado",IF(AND(I54="Aprovado",G54=""),"Verificar: Aprovado sem aprovador","OK"))))</f>
        <v/>
      </c>
      <c r="K54" s="18" t="n"/>
    </row>
    <row r="55">
      <c r="A55" s="16" t="n"/>
      <c r="B55" s="17" t="n"/>
      <c r="C55" s="18" t="n"/>
      <c r="D55" s="16" t="n"/>
      <c r="E55" s="19" t="n"/>
      <c r="F55" s="18" t="n"/>
      <c r="G55" s="18" t="n"/>
      <c r="H55" s="19" t="n"/>
      <c r="I55" s="18" t="n"/>
      <c r="J55" s="20">
        <f>IF(A55="","",IF(AND(ISNUMBER(E55),ISNUMBER(H55),H55&lt;E55),"Verificar: próxima revisão anterior à data",IF(AND(G55&lt;&gt;"",I55&lt;&gt;"Aprovado"),"Verificar: aprovador sem situação Aprovado",IF(AND(I55="Aprovado",G55=""),"Verificar: Aprovado sem aprovador","OK"))))</f>
        <v/>
      </c>
      <c r="K55" s="18" t="n"/>
    </row>
    <row r="56">
      <c r="A56" s="16" t="n"/>
      <c r="B56" s="17" t="n"/>
      <c r="C56" s="18" t="n"/>
      <c r="D56" s="16" t="n"/>
      <c r="E56" s="19" t="n"/>
      <c r="F56" s="18" t="n"/>
      <c r="G56" s="18" t="n"/>
      <c r="H56" s="19" t="n"/>
      <c r="I56" s="18" t="n"/>
      <c r="J56" s="20">
        <f>IF(A56="","",IF(AND(ISNUMBER(E56),ISNUMBER(H56),H56&lt;E56),"Verificar: próxima revisão anterior à data",IF(AND(G56&lt;&gt;"",I56&lt;&gt;"Aprovado"),"Verificar: aprovador sem situação Aprovado",IF(AND(I56="Aprovado",G56=""),"Verificar: Aprovado sem aprovador","OK"))))</f>
        <v/>
      </c>
      <c r="K56" s="18" t="n"/>
    </row>
  </sheetData>
  <autoFilter ref="A6:K56"/>
  <mergeCells count="8">
    <mergeCell ref="A5:C5"/>
    <mergeCell ref="J2:K2"/>
    <mergeCell ref="I5:K5"/>
    <mergeCell ref="J1:K1"/>
    <mergeCell ref="D5:H5"/>
    <mergeCell ref="C3:K3"/>
    <mergeCell ref="A1:B2"/>
    <mergeCell ref="C1:I2"/>
  </mergeCells>
  <conditionalFormatting sqref="J7:J56">
    <cfRule type="expression" priority="1" dxfId="0" stopIfTrue="1">
      <formula>OR(LEFT(J7,4)="ERRO",LEFT(J7,7)="ATENÇÃO")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A7:K56">
    <cfRule type="expression" priority="3" dxfId="2">
      <formula>AND($A7&lt;&gt;"",MOD(ROW(),2)=0)</formula>
    </cfRule>
  </conditionalFormatting>
  <dataValidations count="4">
    <dataValidation sqref="C7:C56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7:E56" showDropDown="0" showInputMessage="1" showErrorMessage="1" allowBlank="1" errorTitle="Valor não aceito" error="Informe uma data válida (dd/mm/aaaa)." promptTitle="Data da revisão" prompt="Data real do Excel, exibida em dd/mm/aaaa." type="date" operator="between">
      <formula1>1</formula1>
      <formula2>2958465</formula2>
    </dataValidation>
    <dataValidation sqref="H7:H56" showDropDown="0" showInputMessage="1" showErrorMessage="1" allowBlank="1" errorTitle="Valor não aceito" error="Informe uma data válida (dd/mm/aaaa)." promptTitle="Próxima revisão" prompt="Data real do Excel, exibida em dd/mm/aaaa." type="date" operator="between">
      <formula1>1</formula1>
      <formula2>2958465</formula2>
    </dataValidation>
    <dataValidation sqref="I7:I56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40" customWidth="1" min="4" max="4"/>
    <col width="22" customWidth="1" min="5" max="5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Histórico de revisões</t>
          </r>
        </is>
      </c>
      <c r="D1" s="2" t="n"/>
      <c r="E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7" t="n"/>
      <c r="E2" s="22">
        <f>"Elaborado: "&amp;IF(cfg_elaborado="","A definir",cfg_elaborado)&amp;"   ·   Aprovado: "&amp;IF(cfg_aprovado="","A definir",cfg_aprovado)</f>
        <v/>
      </c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HISTÓRICO DE REVISÕES</t>
        </is>
      </c>
      <c r="B5" s="12" t="n"/>
      <c r="C5" s="12" t="n"/>
      <c r="D5" s="12" t="n"/>
      <c r="E5" s="13" t="n"/>
    </row>
    <row r="6" ht="24" customHeight="1">
      <c r="A6" s="14" t="inlineStr">
        <is>
          <t>Documento</t>
        </is>
      </c>
      <c r="B6" s="14" t="inlineStr">
        <is>
          <t>Revisão</t>
        </is>
      </c>
      <c r="C6" s="14" t="inlineStr">
        <is>
          <t>Data</t>
        </is>
      </c>
      <c r="D6" s="14" t="inlineStr">
        <is>
          <t>Descrição da mudança</t>
        </is>
      </c>
      <c r="E6" s="14" t="inlineStr">
        <is>
          <t>Responsável</t>
        </is>
      </c>
    </row>
    <row r="7">
      <c r="A7" s="18" t="n"/>
      <c r="B7" s="16" t="n"/>
      <c r="C7" s="19" t="n"/>
      <c r="D7" s="17" t="n"/>
      <c r="E7" s="18" t="n"/>
    </row>
    <row r="8">
      <c r="A8" s="18" t="n"/>
      <c r="B8" s="16" t="n"/>
      <c r="C8" s="19" t="n"/>
      <c r="D8" s="17" t="n"/>
      <c r="E8" s="18" t="n"/>
    </row>
    <row r="9">
      <c r="A9" s="18" t="n"/>
      <c r="B9" s="16" t="n"/>
      <c r="C9" s="19" t="n"/>
      <c r="D9" s="17" t="n"/>
      <c r="E9" s="18" t="n"/>
    </row>
    <row r="10">
      <c r="A10" s="18" t="n"/>
      <c r="B10" s="16" t="n"/>
      <c r="C10" s="19" t="n"/>
      <c r="D10" s="17" t="n"/>
      <c r="E10" s="18" t="n"/>
    </row>
    <row r="11">
      <c r="A11" s="18" t="n"/>
      <c r="B11" s="16" t="n"/>
      <c r="C11" s="19" t="n"/>
      <c r="D11" s="17" t="n"/>
      <c r="E11" s="18" t="n"/>
    </row>
    <row r="12">
      <c r="A12" s="18" t="n"/>
      <c r="B12" s="16" t="n"/>
      <c r="C12" s="19" t="n"/>
      <c r="D12" s="17" t="n"/>
      <c r="E12" s="18" t="n"/>
    </row>
    <row r="13">
      <c r="A13" s="18" t="n"/>
      <c r="B13" s="16" t="n"/>
      <c r="C13" s="19" t="n"/>
      <c r="D13" s="17" t="n"/>
      <c r="E13" s="18" t="n"/>
    </row>
    <row r="14">
      <c r="A14" s="18" t="n"/>
      <c r="B14" s="16" t="n"/>
      <c r="C14" s="19" t="n"/>
      <c r="D14" s="17" t="n"/>
      <c r="E14" s="18" t="n"/>
    </row>
    <row r="15">
      <c r="A15" s="18" t="n"/>
      <c r="B15" s="16" t="n"/>
      <c r="C15" s="19" t="n"/>
      <c r="D15" s="17" t="n"/>
      <c r="E15" s="18" t="n"/>
    </row>
    <row r="16">
      <c r="A16" s="18" t="n"/>
      <c r="B16" s="16" t="n"/>
      <c r="C16" s="19" t="n"/>
      <c r="D16" s="17" t="n"/>
      <c r="E16" s="18" t="n"/>
    </row>
    <row r="17">
      <c r="A17" s="18" t="n"/>
      <c r="B17" s="16" t="n"/>
      <c r="C17" s="19" t="n"/>
      <c r="D17" s="17" t="n"/>
      <c r="E17" s="18" t="n"/>
    </row>
    <row r="18">
      <c r="A18" s="18" t="n"/>
      <c r="B18" s="16" t="n"/>
      <c r="C18" s="19" t="n"/>
      <c r="D18" s="17" t="n"/>
      <c r="E18" s="18" t="n"/>
    </row>
    <row r="19">
      <c r="A19" s="18" t="n"/>
      <c r="B19" s="16" t="n"/>
      <c r="C19" s="19" t="n"/>
      <c r="D19" s="17" t="n"/>
      <c r="E19" s="18" t="n"/>
    </row>
    <row r="20">
      <c r="A20" s="18" t="n"/>
      <c r="B20" s="16" t="n"/>
      <c r="C20" s="19" t="n"/>
      <c r="D20" s="17" t="n"/>
      <c r="E20" s="18" t="n"/>
    </row>
    <row r="21">
      <c r="A21" s="18" t="n"/>
      <c r="B21" s="16" t="n"/>
      <c r="C21" s="19" t="n"/>
      <c r="D21" s="17" t="n"/>
      <c r="E21" s="18" t="n"/>
    </row>
    <row r="22">
      <c r="A22" s="18" t="n"/>
      <c r="B22" s="16" t="n"/>
      <c r="C22" s="19" t="n"/>
      <c r="D22" s="17" t="n"/>
      <c r="E22" s="18" t="n"/>
    </row>
    <row r="23">
      <c r="A23" s="18" t="n"/>
      <c r="B23" s="16" t="n"/>
      <c r="C23" s="19" t="n"/>
      <c r="D23" s="17" t="n"/>
      <c r="E23" s="18" t="n"/>
    </row>
    <row r="24">
      <c r="A24" s="18" t="n"/>
      <c r="B24" s="16" t="n"/>
      <c r="C24" s="19" t="n"/>
      <c r="D24" s="17" t="n"/>
      <c r="E24" s="18" t="n"/>
    </row>
    <row r="25">
      <c r="A25" s="18" t="n"/>
      <c r="B25" s="16" t="n"/>
      <c r="C25" s="19" t="n"/>
      <c r="D25" s="17" t="n"/>
      <c r="E25" s="18" t="n"/>
    </row>
    <row r="26">
      <c r="A26" s="18" t="n"/>
      <c r="B26" s="16" t="n"/>
      <c r="C26" s="19" t="n"/>
      <c r="D26" s="17" t="n"/>
      <c r="E26" s="18" t="n"/>
    </row>
    <row r="27">
      <c r="A27" s="18" t="n"/>
      <c r="B27" s="16" t="n"/>
      <c r="C27" s="19" t="n"/>
      <c r="D27" s="17" t="n"/>
      <c r="E27" s="18" t="n"/>
    </row>
    <row r="28">
      <c r="A28" s="18" t="n"/>
      <c r="B28" s="16" t="n"/>
      <c r="C28" s="19" t="n"/>
      <c r="D28" s="17" t="n"/>
      <c r="E28" s="18" t="n"/>
    </row>
    <row r="29">
      <c r="A29" s="18" t="n"/>
      <c r="B29" s="16" t="n"/>
      <c r="C29" s="19" t="n"/>
      <c r="D29" s="17" t="n"/>
      <c r="E29" s="18" t="n"/>
    </row>
    <row r="30">
      <c r="A30" s="18" t="n"/>
      <c r="B30" s="16" t="n"/>
      <c r="C30" s="19" t="n"/>
      <c r="D30" s="17" t="n"/>
      <c r="E30" s="18" t="n"/>
    </row>
    <row r="31">
      <c r="A31" s="18" t="n"/>
      <c r="B31" s="16" t="n"/>
      <c r="C31" s="19" t="n"/>
      <c r="D31" s="17" t="n"/>
      <c r="E31" s="18" t="n"/>
    </row>
    <row r="32">
      <c r="A32" s="18" t="n"/>
      <c r="B32" s="16" t="n"/>
      <c r="C32" s="19" t="n"/>
      <c r="D32" s="17" t="n"/>
      <c r="E32" s="18" t="n"/>
    </row>
    <row r="33">
      <c r="A33" s="18" t="n"/>
      <c r="B33" s="16" t="n"/>
      <c r="C33" s="19" t="n"/>
      <c r="D33" s="17" t="n"/>
      <c r="E33" s="18" t="n"/>
    </row>
    <row r="34">
      <c r="A34" s="18" t="n"/>
      <c r="B34" s="16" t="n"/>
      <c r="C34" s="19" t="n"/>
      <c r="D34" s="17" t="n"/>
      <c r="E34" s="18" t="n"/>
    </row>
    <row r="35">
      <c r="A35" s="18" t="n"/>
      <c r="B35" s="16" t="n"/>
      <c r="C35" s="19" t="n"/>
      <c r="D35" s="17" t="n"/>
      <c r="E35" s="18" t="n"/>
    </row>
    <row r="36">
      <c r="A36" s="18" t="n"/>
      <c r="B36" s="16" t="n"/>
      <c r="C36" s="19" t="n"/>
      <c r="D36" s="17" t="n"/>
      <c r="E36" s="18" t="n"/>
    </row>
    <row r="37">
      <c r="A37" s="18" t="n"/>
      <c r="B37" s="16" t="n"/>
      <c r="C37" s="19" t="n"/>
      <c r="D37" s="17" t="n"/>
      <c r="E37" s="18" t="n"/>
    </row>
    <row r="38">
      <c r="A38" s="18" t="n"/>
      <c r="B38" s="16" t="n"/>
      <c r="C38" s="19" t="n"/>
      <c r="D38" s="17" t="n"/>
      <c r="E38" s="18" t="n"/>
    </row>
    <row r="39">
      <c r="A39" s="18" t="n"/>
      <c r="B39" s="16" t="n"/>
      <c r="C39" s="19" t="n"/>
      <c r="D39" s="17" t="n"/>
      <c r="E39" s="18" t="n"/>
    </row>
    <row r="40">
      <c r="A40" s="18" t="n"/>
      <c r="B40" s="16" t="n"/>
      <c r="C40" s="19" t="n"/>
      <c r="D40" s="17" t="n"/>
      <c r="E40" s="18" t="n"/>
    </row>
    <row r="41">
      <c r="A41" s="18" t="n"/>
      <c r="B41" s="16" t="n"/>
      <c r="C41" s="19" t="n"/>
      <c r="D41" s="17" t="n"/>
      <c r="E41" s="18" t="n"/>
    </row>
    <row r="42">
      <c r="A42" s="18" t="n"/>
      <c r="B42" s="16" t="n"/>
      <c r="C42" s="19" t="n"/>
      <c r="D42" s="17" t="n"/>
      <c r="E42" s="18" t="n"/>
    </row>
    <row r="43">
      <c r="A43" s="18" t="n"/>
      <c r="B43" s="16" t="n"/>
      <c r="C43" s="19" t="n"/>
      <c r="D43" s="17" t="n"/>
      <c r="E43" s="18" t="n"/>
    </row>
    <row r="44">
      <c r="A44" s="18" t="n"/>
      <c r="B44" s="16" t="n"/>
      <c r="C44" s="19" t="n"/>
      <c r="D44" s="17" t="n"/>
      <c r="E44" s="18" t="n"/>
    </row>
    <row r="45">
      <c r="A45" s="18" t="n"/>
      <c r="B45" s="16" t="n"/>
      <c r="C45" s="19" t="n"/>
      <c r="D45" s="17" t="n"/>
      <c r="E45" s="18" t="n"/>
    </row>
    <row r="46">
      <c r="A46" s="18" t="n"/>
      <c r="B46" s="16" t="n"/>
      <c r="C46" s="19" t="n"/>
      <c r="D46" s="17" t="n"/>
      <c r="E46" s="18" t="n"/>
    </row>
    <row r="47">
      <c r="A47" s="18" t="n"/>
      <c r="B47" s="16" t="n"/>
      <c r="C47" s="19" t="n"/>
      <c r="D47" s="17" t="n"/>
      <c r="E47" s="18" t="n"/>
    </row>
    <row r="48">
      <c r="A48" s="18" t="n"/>
      <c r="B48" s="16" t="n"/>
      <c r="C48" s="19" t="n"/>
      <c r="D48" s="17" t="n"/>
      <c r="E48" s="18" t="n"/>
    </row>
    <row r="49">
      <c r="A49" s="18" t="n"/>
      <c r="B49" s="16" t="n"/>
      <c r="C49" s="19" t="n"/>
      <c r="D49" s="17" t="n"/>
      <c r="E49" s="18" t="n"/>
    </row>
    <row r="50">
      <c r="A50" s="18" t="n"/>
      <c r="B50" s="16" t="n"/>
      <c r="C50" s="19" t="n"/>
      <c r="D50" s="17" t="n"/>
      <c r="E50" s="18" t="n"/>
    </row>
    <row r="51">
      <c r="A51" s="18" t="n"/>
      <c r="B51" s="16" t="n"/>
      <c r="C51" s="19" t="n"/>
      <c r="D51" s="17" t="n"/>
      <c r="E51" s="18" t="n"/>
    </row>
    <row r="52">
      <c r="A52" s="18" t="n"/>
      <c r="B52" s="16" t="n"/>
      <c r="C52" s="19" t="n"/>
      <c r="D52" s="17" t="n"/>
      <c r="E52" s="18" t="n"/>
    </row>
    <row r="53">
      <c r="A53" s="18" t="n"/>
      <c r="B53" s="16" t="n"/>
      <c r="C53" s="19" t="n"/>
      <c r="D53" s="17" t="n"/>
      <c r="E53" s="18" t="n"/>
    </row>
    <row r="54">
      <c r="A54" s="18" t="n"/>
      <c r="B54" s="16" t="n"/>
      <c r="C54" s="19" t="n"/>
      <c r="D54" s="17" t="n"/>
      <c r="E54" s="18" t="n"/>
    </row>
    <row r="55">
      <c r="A55" s="18" t="n"/>
      <c r="B55" s="16" t="n"/>
      <c r="C55" s="19" t="n"/>
      <c r="D55" s="17" t="n"/>
      <c r="E55" s="18" t="n"/>
    </row>
    <row r="56">
      <c r="A56" s="18" t="n"/>
      <c r="B56" s="16" t="n"/>
      <c r="C56" s="19" t="n"/>
      <c r="D56" s="17" t="n"/>
      <c r="E56" s="18" t="n"/>
    </row>
    <row r="57">
      <c r="A57" s="18" t="n"/>
      <c r="B57" s="16" t="n"/>
      <c r="C57" s="19" t="n"/>
      <c r="D57" s="17" t="n"/>
      <c r="E57" s="18" t="n"/>
    </row>
    <row r="58">
      <c r="A58" s="18" t="n"/>
      <c r="B58" s="16" t="n"/>
      <c r="C58" s="19" t="n"/>
      <c r="D58" s="17" t="n"/>
      <c r="E58" s="18" t="n"/>
    </row>
    <row r="59">
      <c r="A59" s="18" t="n"/>
      <c r="B59" s="16" t="n"/>
      <c r="C59" s="19" t="n"/>
      <c r="D59" s="17" t="n"/>
      <c r="E59" s="18" t="n"/>
    </row>
    <row r="60">
      <c r="A60" s="18" t="n"/>
      <c r="B60" s="16" t="n"/>
      <c r="C60" s="19" t="n"/>
      <c r="D60" s="17" t="n"/>
      <c r="E60" s="18" t="n"/>
    </row>
    <row r="61">
      <c r="A61" s="18" t="n"/>
      <c r="B61" s="16" t="n"/>
      <c r="C61" s="19" t="n"/>
      <c r="D61" s="17" t="n"/>
      <c r="E61" s="18" t="n"/>
    </row>
    <row r="62">
      <c r="A62" s="18" t="n"/>
      <c r="B62" s="16" t="n"/>
      <c r="C62" s="19" t="n"/>
      <c r="D62" s="17" t="n"/>
      <c r="E62" s="18" t="n"/>
    </row>
    <row r="63">
      <c r="A63" s="18" t="n"/>
      <c r="B63" s="16" t="n"/>
      <c r="C63" s="19" t="n"/>
      <c r="D63" s="17" t="n"/>
      <c r="E63" s="18" t="n"/>
    </row>
    <row r="64">
      <c r="A64" s="18" t="n"/>
      <c r="B64" s="16" t="n"/>
      <c r="C64" s="19" t="n"/>
      <c r="D64" s="17" t="n"/>
      <c r="E64" s="18" t="n"/>
    </row>
    <row r="65">
      <c r="A65" s="18" t="n"/>
      <c r="B65" s="16" t="n"/>
      <c r="C65" s="19" t="n"/>
      <c r="D65" s="17" t="n"/>
      <c r="E65" s="18" t="n"/>
    </row>
    <row r="66">
      <c r="A66" s="18" t="n"/>
      <c r="B66" s="16" t="n"/>
      <c r="C66" s="19" t="n"/>
      <c r="D66" s="17" t="n"/>
      <c r="E66" s="18" t="n"/>
    </row>
    <row r="67">
      <c r="A67" s="18" t="n"/>
      <c r="B67" s="16" t="n"/>
      <c r="C67" s="19" t="n"/>
      <c r="D67" s="17" t="n"/>
      <c r="E67" s="18" t="n"/>
    </row>
    <row r="68">
      <c r="A68" s="18" t="n"/>
      <c r="B68" s="16" t="n"/>
      <c r="C68" s="19" t="n"/>
      <c r="D68" s="17" t="n"/>
      <c r="E68" s="18" t="n"/>
    </row>
    <row r="69">
      <c r="A69" s="18" t="n"/>
      <c r="B69" s="16" t="n"/>
      <c r="C69" s="19" t="n"/>
      <c r="D69" s="17" t="n"/>
      <c r="E69" s="18" t="n"/>
    </row>
    <row r="70">
      <c r="A70" s="18" t="n"/>
      <c r="B70" s="16" t="n"/>
      <c r="C70" s="19" t="n"/>
      <c r="D70" s="17" t="n"/>
      <c r="E70" s="18" t="n"/>
    </row>
    <row r="71">
      <c r="A71" s="18" t="n"/>
      <c r="B71" s="16" t="n"/>
      <c r="C71" s="19" t="n"/>
      <c r="D71" s="17" t="n"/>
      <c r="E71" s="18" t="n"/>
    </row>
    <row r="72">
      <c r="A72" s="18" t="n"/>
      <c r="B72" s="16" t="n"/>
      <c r="C72" s="19" t="n"/>
      <c r="D72" s="17" t="n"/>
      <c r="E72" s="18" t="n"/>
    </row>
    <row r="73">
      <c r="A73" s="18" t="n"/>
      <c r="B73" s="16" t="n"/>
      <c r="C73" s="19" t="n"/>
      <c r="D73" s="17" t="n"/>
      <c r="E73" s="18" t="n"/>
    </row>
    <row r="74">
      <c r="A74" s="18" t="n"/>
      <c r="B74" s="16" t="n"/>
      <c r="C74" s="19" t="n"/>
      <c r="D74" s="17" t="n"/>
      <c r="E74" s="18" t="n"/>
    </row>
    <row r="75">
      <c r="A75" s="18" t="n"/>
      <c r="B75" s="16" t="n"/>
      <c r="C75" s="19" t="n"/>
      <c r="D75" s="17" t="n"/>
      <c r="E75" s="18" t="n"/>
    </row>
    <row r="76">
      <c r="A76" s="18" t="n"/>
      <c r="B76" s="16" t="n"/>
      <c r="C76" s="19" t="n"/>
      <c r="D76" s="17" t="n"/>
      <c r="E76" s="18" t="n"/>
    </row>
    <row r="77">
      <c r="A77" s="18" t="n"/>
      <c r="B77" s="16" t="n"/>
      <c r="C77" s="19" t="n"/>
      <c r="D77" s="17" t="n"/>
      <c r="E77" s="18" t="n"/>
    </row>
    <row r="78">
      <c r="A78" s="18" t="n"/>
      <c r="B78" s="16" t="n"/>
      <c r="C78" s="19" t="n"/>
      <c r="D78" s="17" t="n"/>
      <c r="E78" s="18" t="n"/>
    </row>
    <row r="79">
      <c r="A79" s="18" t="n"/>
      <c r="B79" s="16" t="n"/>
      <c r="C79" s="19" t="n"/>
      <c r="D79" s="17" t="n"/>
      <c r="E79" s="18" t="n"/>
    </row>
    <row r="80">
      <c r="A80" s="18" t="n"/>
      <c r="B80" s="16" t="n"/>
      <c r="C80" s="19" t="n"/>
      <c r="D80" s="17" t="n"/>
      <c r="E80" s="18" t="n"/>
    </row>
    <row r="81">
      <c r="A81" s="18" t="n"/>
      <c r="B81" s="16" t="n"/>
      <c r="C81" s="19" t="n"/>
      <c r="D81" s="17" t="n"/>
      <c r="E81" s="18" t="n"/>
    </row>
    <row r="82">
      <c r="A82" s="18" t="n"/>
      <c r="B82" s="16" t="n"/>
      <c r="C82" s="19" t="n"/>
      <c r="D82" s="17" t="n"/>
      <c r="E82" s="18" t="n"/>
    </row>
    <row r="83">
      <c r="A83" s="18" t="n"/>
      <c r="B83" s="16" t="n"/>
      <c r="C83" s="19" t="n"/>
      <c r="D83" s="17" t="n"/>
      <c r="E83" s="18" t="n"/>
    </row>
    <row r="84">
      <c r="A84" s="18" t="n"/>
      <c r="B84" s="16" t="n"/>
      <c r="C84" s="19" t="n"/>
      <c r="D84" s="17" t="n"/>
      <c r="E84" s="18" t="n"/>
    </row>
    <row r="85">
      <c r="A85" s="18" t="n"/>
      <c r="B85" s="16" t="n"/>
      <c r="C85" s="19" t="n"/>
      <c r="D85" s="17" t="n"/>
      <c r="E85" s="18" t="n"/>
    </row>
    <row r="86">
      <c r="A86" s="18" t="n"/>
      <c r="B86" s="16" t="n"/>
      <c r="C86" s="19" t="n"/>
      <c r="D86" s="17" t="n"/>
      <c r="E86" s="18" t="n"/>
    </row>
    <row r="87">
      <c r="A87" s="18" t="n"/>
      <c r="B87" s="16" t="n"/>
      <c r="C87" s="19" t="n"/>
      <c r="D87" s="17" t="n"/>
      <c r="E87" s="18" t="n"/>
    </row>
    <row r="88">
      <c r="A88" s="18" t="n"/>
      <c r="B88" s="16" t="n"/>
      <c r="C88" s="19" t="n"/>
      <c r="D88" s="17" t="n"/>
      <c r="E88" s="18" t="n"/>
    </row>
    <row r="89">
      <c r="A89" s="18" t="n"/>
      <c r="B89" s="16" t="n"/>
      <c r="C89" s="19" t="n"/>
      <c r="D89" s="17" t="n"/>
      <c r="E89" s="18" t="n"/>
    </row>
    <row r="90">
      <c r="A90" s="18" t="n"/>
      <c r="B90" s="16" t="n"/>
      <c r="C90" s="19" t="n"/>
      <c r="D90" s="17" t="n"/>
      <c r="E90" s="18" t="n"/>
    </row>
    <row r="91">
      <c r="A91" s="18" t="n"/>
      <c r="B91" s="16" t="n"/>
      <c r="C91" s="19" t="n"/>
      <c r="D91" s="17" t="n"/>
      <c r="E91" s="18" t="n"/>
    </row>
    <row r="92">
      <c r="A92" s="18" t="n"/>
      <c r="B92" s="16" t="n"/>
      <c r="C92" s="19" t="n"/>
      <c r="D92" s="17" t="n"/>
      <c r="E92" s="18" t="n"/>
    </row>
    <row r="93">
      <c r="A93" s="18" t="n"/>
      <c r="B93" s="16" t="n"/>
      <c r="C93" s="19" t="n"/>
      <c r="D93" s="17" t="n"/>
      <c r="E93" s="18" t="n"/>
    </row>
    <row r="94">
      <c r="A94" s="18" t="n"/>
      <c r="B94" s="16" t="n"/>
      <c r="C94" s="19" t="n"/>
      <c r="D94" s="17" t="n"/>
      <c r="E94" s="18" t="n"/>
    </row>
    <row r="95">
      <c r="A95" s="18" t="n"/>
      <c r="B95" s="16" t="n"/>
      <c r="C95" s="19" t="n"/>
      <c r="D95" s="17" t="n"/>
      <c r="E95" s="18" t="n"/>
    </row>
    <row r="96">
      <c r="A96" s="18" t="n"/>
      <c r="B96" s="16" t="n"/>
      <c r="C96" s="19" t="n"/>
      <c r="D96" s="17" t="n"/>
      <c r="E96" s="18" t="n"/>
    </row>
    <row r="97">
      <c r="A97" s="18" t="n"/>
      <c r="B97" s="16" t="n"/>
      <c r="C97" s="19" t="n"/>
      <c r="D97" s="17" t="n"/>
      <c r="E97" s="18" t="n"/>
    </row>
    <row r="98">
      <c r="A98" s="18" t="n"/>
      <c r="B98" s="16" t="n"/>
      <c r="C98" s="19" t="n"/>
      <c r="D98" s="17" t="n"/>
      <c r="E98" s="18" t="n"/>
    </row>
    <row r="99">
      <c r="A99" s="18" t="n"/>
      <c r="B99" s="16" t="n"/>
      <c r="C99" s="19" t="n"/>
      <c r="D99" s="17" t="n"/>
      <c r="E99" s="18" t="n"/>
    </row>
    <row r="100">
      <c r="A100" s="18" t="n"/>
      <c r="B100" s="16" t="n"/>
      <c r="C100" s="19" t="n"/>
      <c r="D100" s="17" t="n"/>
      <c r="E100" s="18" t="n"/>
    </row>
    <row r="101">
      <c r="A101" s="18" t="n"/>
      <c r="B101" s="16" t="n"/>
      <c r="C101" s="19" t="n"/>
      <c r="D101" s="17" t="n"/>
      <c r="E101" s="18" t="n"/>
    </row>
    <row r="102">
      <c r="A102" s="18" t="n"/>
      <c r="B102" s="16" t="n"/>
      <c r="C102" s="19" t="n"/>
      <c r="D102" s="17" t="n"/>
      <c r="E102" s="18" t="n"/>
    </row>
    <row r="103">
      <c r="A103" s="18" t="n"/>
      <c r="B103" s="16" t="n"/>
      <c r="C103" s="19" t="n"/>
      <c r="D103" s="17" t="n"/>
      <c r="E103" s="18" t="n"/>
    </row>
    <row r="104">
      <c r="A104" s="18" t="n"/>
      <c r="B104" s="16" t="n"/>
      <c r="C104" s="19" t="n"/>
      <c r="D104" s="17" t="n"/>
      <c r="E104" s="18" t="n"/>
    </row>
    <row r="105">
      <c r="A105" s="18" t="n"/>
      <c r="B105" s="16" t="n"/>
      <c r="C105" s="19" t="n"/>
      <c r="D105" s="17" t="n"/>
      <c r="E105" s="18" t="n"/>
    </row>
    <row r="106">
      <c r="A106" s="18" t="n"/>
      <c r="B106" s="16" t="n"/>
      <c r="C106" s="19" t="n"/>
      <c r="D106" s="17" t="n"/>
      <c r="E106" s="18" t="n"/>
    </row>
  </sheetData>
  <autoFilter ref="A6:E106"/>
  <mergeCells count="4">
    <mergeCell ref="A1:B2"/>
    <mergeCell ref="C3:E3"/>
    <mergeCell ref="C1:D2"/>
    <mergeCell ref="A5:E5"/>
  </mergeCells>
  <conditionalFormatting sqref="A7:E106">
    <cfRule type="expression" priority="1" dxfId="2">
      <formula>AND($A7&lt;&gt;"",MOD(ROW(),2)=0)</formula>
    </cfRule>
  </conditionalFormatting>
  <dataValidations count="1">
    <dataValidation sqref="C7:C1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7" customWidth="1" min="2" max="2"/>
    <col width="26" customWidth="1" min="3" max="3"/>
    <col width="32" customWidth="1" min="4" max="4"/>
  </cols>
  <sheetData>
    <row r="1" ht="33" customHeight="1">
      <c r="A1" s="23" t="n"/>
      <c r="B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Organização</t>
          </r>
        </is>
      </c>
      <c r="C1" s="2" t="n"/>
      <c r="D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4" t="n"/>
      <c r="B2" s="6" t="n"/>
      <c r="C2" s="7" t="n"/>
      <c r="D2" s="22">
        <f>"Elaborado: "&amp;IF(cfg_elaborado="","A definir",cfg_elaborado)&amp;"   ·   Aprovado: "&amp;IF(cfg_aprovado="","A definir",cfg_aprovado)</f>
        <v/>
      </c>
    </row>
    <row r="3" ht="26.75" customHeight="1">
      <c r="B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DADOS DA ORGANIZAÇÃO</t>
        </is>
      </c>
      <c r="B5" s="12" t="n"/>
      <c r="C5" s="12" t="n"/>
      <c r="D5" s="13" t="n"/>
    </row>
    <row r="6" ht="24" customHeight="1">
      <c r="A6" s="14" t="inlineStr">
        <is>
          <t>Campo</t>
        </is>
      </c>
      <c r="B6" s="14" t="inlineStr">
        <is>
          <t>Valor</t>
        </is>
      </c>
      <c r="C6" s="15" t="inlineStr">
        <is>
          <t>Resultado</t>
        </is>
      </c>
      <c r="D6" s="14" t="inlineStr">
        <is>
          <t>Observação</t>
        </is>
      </c>
    </row>
    <row r="7" ht="22" customHeight="1">
      <c r="A7" s="25" t="inlineStr">
        <is>
          <t>Nome da organização</t>
        </is>
      </c>
      <c r="B7" s="26" t="n"/>
      <c r="C7" s="27" t="n"/>
      <c r="D7" s="28" t="inlineStr">
        <is>
          <t>Ex.: Indústria Exemplo.</t>
        </is>
      </c>
    </row>
    <row r="8" ht="22" customHeight="1">
      <c r="A8" s="25" t="inlineStr">
        <is>
          <t>Referencial</t>
        </is>
      </c>
      <c r="B8" s="26" t="inlineStr">
        <is>
          <t>GERAL (sem norma)</t>
        </is>
      </c>
      <c r="C8" s="27" t="n"/>
      <c r="D8" s="28" t="inlineStr">
        <is>
          <t>Padrão GERAL (sem norma). Não cite norma sem fonte oficial, versão e data.</t>
        </is>
      </c>
    </row>
    <row r="9" ht="22" customHeight="1">
      <c r="A9" s="25" t="inlineStr">
        <is>
          <t>Prefixo dos documentos</t>
        </is>
      </c>
      <c r="B9" s="26" t="inlineStr">
        <is>
          <t>PCMD</t>
        </is>
      </c>
      <c r="C9" s="27" t="n"/>
      <c r="D9" s="28" t="inlineStr">
        <is>
          <t>Padrão PCMD.</t>
        </is>
      </c>
    </row>
    <row r="10" ht="22" customHeight="1">
      <c r="A10" s="25" t="inlineStr">
        <is>
          <t>Elaborador padrão (ID)</t>
        </is>
      </c>
      <c r="B10" s="26" t="n"/>
      <c r="C10" s="27">
        <f>IF(B10="","",IFERROR(INDEX(cad_pessoa_nome,MATCH(B10,cad_pessoa_id,0)),"Pessoa não cadastrada"))</f>
        <v/>
      </c>
      <c r="D10" s="28" t="inlineStr">
        <is>
          <t>ID da aba Pessoas.</t>
        </is>
      </c>
    </row>
    <row r="11" ht="22" customHeight="1">
      <c r="A11" s="25" t="inlineStr">
        <is>
          <t>Aprovador padrão (ID)</t>
        </is>
      </c>
      <c r="B11" s="26" t="n"/>
      <c r="C11" s="27">
        <f>IF(B11="","A definir (aprovação não registrada)",IFERROR(INDEX(cad_pessoa_nome,MATCH(B11,cad_pessoa_id,0)),"Pessoa não cadastrada"))</f>
        <v/>
      </c>
      <c r="D11" s="28" t="inlineStr">
        <is>
          <t>Só informe após aprovação efetiva.</t>
        </is>
      </c>
    </row>
    <row r="12" ht="22" customHeight="1">
      <c r="A12" s="25" t="inlineStr">
        <is>
          <t>Meta de disponibilidade (%)</t>
        </is>
      </c>
      <c r="B12" s="29" t="n"/>
      <c r="C12" s="30">
        <f>IF(B12="","A definir",B12)</f>
        <v/>
      </c>
      <c r="D12" s="28" t="inlineStr">
        <is>
          <t>Disponibilidade, MTBF e MTTR não são calculados: regras técnicas pendentes.</t>
        </is>
      </c>
    </row>
  </sheetData>
  <mergeCells count="4">
    <mergeCell ref="A5:D5"/>
    <mergeCell ref="B3:D3"/>
    <mergeCell ref="B1:C2"/>
    <mergeCell ref="A1:A2"/>
  </mergeCells>
  <dataValidations count="3">
    <dataValidation sqref="B10" showDropDown="0" showInputMessage="0" showErrorMessage="1" allowBlank="1" errorTitle="Valor não aceito" error="Use um ID da aba Pessoas." type="list">
      <formula1>=cad_pessoa_id</formula1>
    </dataValidation>
    <dataValidation sqref="B11" showDropDown="0" showInputMessage="0" showErrorMessage="1" allowBlank="1" errorTitle="Valor não aceito" error="Use um ID da aba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8" customWidth="1" min="5" max="5"/>
    <col width="18" customWidth="1" min="6" max="6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Pessoas e funções</t>
          </r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definir",cfg_elaborado)&amp;"   ·   Aprovado: "&amp;IF(cfg_aprovado="","A definir",cfg_aprovado)</f>
        <v/>
      </c>
      <c r="F2" s="7" t="n"/>
    </row>
    <row r="3" ht="37.62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PESSOAS</t>
        </is>
      </c>
      <c r="B5" s="12" t="n"/>
      <c r="C5" s="12" t="n"/>
      <c r="D5" s="12" t="n"/>
      <c r="E5" s="12" t="n"/>
      <c r="F5" s="13" t="n"/>
    </row>
    <row r="6" ht="24" customHeight="1">
      <c r="A6" s="14" t="inlineStr">
        <is>
          <t>ID da pessoa</t>
        </is>
      </c>
      <c r="B6" s="14" t="inlineStr">
        <is>
          <t>Nome</t>
        </is>
      </c>
      <c r="C6" s="14" t="inlineStr">
        <is>
          <t>Função</t>
        </is>
      </c>
      <c r="D6" s="14" t="inlineStr">
        <is>
          <t>Especialidade</t>
        </is>
      </c>
      <c r="E6" s="14" t="inlineStr">
        <is>
          <t>Ativa</t>
        </is>
      </c>
      <c r="F6" s="15" t="inlineStr">
        <is>
          <t>Conferência</t>
        </is>
      </c>
    </row>
    <row r="7">
      <c r="A7" s="16" t="n"/>
      <c r="B7" s="18" t="n"/>
      <c r="C7" s="18" t="n"/>
      <c r="D7" s="18" t="n"/>
      <c r="E7" s="16" t="n"/>
      <c r="F7" s="20">
        <f>IF(A7&amp;B7="","",IF(A7="","ERRO: falta ID",IF(COUNTIF(cad_pessoa_id,A7)&gt;1,"ERRO: ID repetido",IF(B7="","ERRO: falta nome","OK"))))</f>
        <v/>
      </c>
    </row>
    <row r="8">
      <c r="A8" s="16" t="n"/>
      <c r="B8" s="18" t="n"/>
      <c r="C8" s="18" t="n"/>
      <c r="D8" s="18" t="n"/>
      <c r="E8" s="16" t="n"/>
      <c r="F8" s="20">
        <f>IF(A8&amp;B8="","",IF(A8="","ERRO: falta ID",IF(COUNTIF(cad_pessoa_id,A8)&gt;1,"ERRO: ID repetido",IF(B8="","ERRO: falta nome","OK"))))</f>
        <v/>
      </c>
    </row>
    <row r="9">
      <c r="A9" s="16" t="n"/>
      <c r="B9" s="18" t="n"/>
      <c r="C9" s="18" t="n"/>
      <c r="D9" s="18" t="n"/>
      <c r="E9" s="16" t="n"/>
      <c r="F9" s="20">
        <f>IF(A9&amp;B9="","",IF(A9="","ERRO: falta ID",IF(COUNTIF(cad_pessoa_id,A9)&gt;1,"ERRO: ID repetido",IF(B9="","ERRO: falta nome","OK"))))</f>
        <v/>
      </c>
    </row>
    <row r="10">
      <c r="A10" s="16" t="n"/>
      <c r="B10" s="18" t="n"/>
      <c r="C10" s="18" t="n"/>
      <c r="D10" s="18" t="n"/>
      <c r="E10" s="16" t="n"/>
      <c r="F10" s="20">
        <f>IF(A10&amp;B10="","",IF(A10="","ERRO: falta ID",IF(COUNTIF(cad_pessoa_id,A10)&gt;1,"ERRO: ID repetido",IF(B10="","ERRO: falta nome","OK"))))</f>
        <v/>
      </c>
    </row>
    <row r="11">
      <c r="A11" s="16" t="n"/>
      <c r="B11" s="18" t="n"/>
      <c r="C11" s="18" t="n"/>
      <c r="D11" s="18" t="n"/>
      <c r="E11" s="16" t="n"/>
      <c r="F11" s="20">
        <f>IF(A11&amp;B11="","",IF(A11="","ERRO: falta ID",IF(COUNTIF(cad_pessoa_id,A11)&gt;1,"ERRO: ID repetido",IF(B11="","ERRO: falta nome","OK"))))</f>
        <v/>
      </c>
    </row>
    <row r="12">
      <c r="A12" s="16" t="n"/>
      <c r="B12" s="18" t="n"/>
      <c r="C12" s="18" t="n"/>
      <c r="D12" s="18" t="n"/>
      <c r="E12" s="16" t="n"/>
      <c r="F12" s="20">
        <f>IF(A12&amp;B12="","",IF(A12="","ERRO: falta ID",IF(COUNTIF(cad_pessoa_id,A12)&gt;1,"ERRO: ID repetido",IF(B12="","ERRO: falta nome","OK"))))</f>
        <v/>
      </c>
    </row>
    <row r="13">
      <c r="A13" s="16" t="n"/>
      <c r="B13" s="18" t="n"/>
      <c r="C13" s="18" t="n"/>
      <c r="D13" s="18" t="n"/>
      <c r="E13" s="16" t="n"/>
      <c r="F13" s="20">
        <f>IF(A13&amp;B13="","",IF(A13="","ERRO: falta ID",IF(COUNTIF(cad_pessoa_id,A13)&gt;1,"ERRO: ID repetido",IF(B13="","ERRO: falta nome","OK"))))</f>
        <v/>
      </c>
    </row>
    <row r="14">
      <c r="A14" s="16" t="n"/>
      <c r="B14" s="18" t="n"/>
      <c r="C14" s="18" t="n"/>
      <c r="D14" s="18" t="n"/>
      <c r="E14" s="16" t="n"/>
      <c r="F14" s="20">
        <f>IF(A14&amp;B14="","",IF(A14="","ERRO: falta ID",IF(COUNTIF(cad_pessoa_id,A14)&gt;1,"ERRO: ID repetido",IF(B14="","ERRO: falta nome","OK"))))</f>
        <v/>
      </c>
    </row>
    <row r="15">
      <c r="A15" s="16" t="n"/>
      <c r="B15" s="18" t="n"/>
      <c r="C15" s="18" t="n"/>
      <c r="D15" s="18" t="n"/>
      <c r="E15" s="16" t="n"/>
      <c r="F15" s="20">
        <f>IF(A15&amp;B15="","",IF(A15="","ERRO: falta ID",IF(COUNTIF(cad_pessoa_id,A15)&gt;1,"ERRO: ID repetido",IF(B15="","ERRO: falta nome","OK"))))</f>
        <v/>
      </c>
    </row>
    <row r="16">
      <c r="A16" s="16" t="n"/>
      <c r="B16" s="18" t="n"/>
      <c r="C16" s="18" t="n"/>
      <c r="D16" s="18" t="n"/>
      <c r="E16" s="16" t="n"/>
      <c r="F16" s="20">
        <f>IF(A16&amp;B16="","",IF(A16="","ERRO: falta ID",IF(COUNTIF(cad_pessoa_id,A16)&gt;1,"ERRO: ID repetido",IF(B16="","ERRO: falta nome","OK"))))</f>
        <v/>
      </c>
    </row>
    <row r="17">
      <c r="A17" s="16" t="n"/>
      <c r="B17" s="18" t="n"/>
      <c r="C17" s="18" t="n"/>
      <c r="D17" s="18" t="n"/>
      <c r="E17" s="16" t="n"/>
      <c r="F17" s="20">
        <f>IF(A17&amp;B17="","",IF(A17="","ERRO: falta ID",IF(COUNTIF(cad_pessoa_id,A17)&gt;1,"ERRO: ID repetido",IF(B17="","ERRO: falta nome","OK"))))</f>
        <v/>
      </c>
    </row>
    <row r="18">
      <c r="A18" s="16" t="n"/>
      <c r="B18" s="18" t="n"/>
      <c r="C18" s="18" t="n"/>
      <c r="D18" s="18" t="n"/>
      <c r="E18" s="16" t="n"/>
      <c r="F18" s="20">
        <f>IF(A18&amp;B18="","",IF(A18="","ERRO: falta ID",IF(COUNTIF(cad_pessoa_id,A18)&gt;1,"ERRO: ID repetido",IF(B18="","ERRO: falta nome","OK"))))</f>
        <v/>
      </c>
    </row>
    <row r="19">
      <c r="A19" s="16" t="n"/>
      <c r="B19" s="18" t="n"/>
      <c r="C19" s="18" t="n"/>
      <c r="D19" s="18" t="n"/>
      <c r="E19" s="16" t="n"/>
      <c r="F19" s="20">
        <f>IF(A19&amp;B19="","",IF(A19="","ERRO: falta ID",IF(COUNTIF(cad_pessoa_id,A19)&gt;1,"ERRO: ID repetido",IF(B19="","ERRO: falta nome","OK"))))</f>
        <v/>
      </c>
    </row>
    <row r="20">
      <c r="A20" s="16" t="n"/>
      <c r="B20" s="18" t="n"/>
      <c r="C20" s="18" t="n"/>
      <c r="D20" s="18" t="n"/>
      <c r="E20" s="16" t="n"/>
      <c r="F20" s="20">
        <f>IF(A20&amp;B20="","",IF(A20="","ERRO: falta ID",IF(COUNTIF(cad_pessoa_id,A20)&gt;1,"ERRO: ID repetido",IF(B20="","ERRO: falta nome","OK"))))</f>
        <v/>
      </c>
    </row>
    <row r="21">
      <c r="A21" s="16" t="n"/>
      <c r="B21" s="18" t="n"/>
      <c r="C21" s="18" t="n"/>
      <c r="D21" s="18" t="n"/>
      <c r="E21" s="16" t="n"/>
      <c r="F21" s="20">
        <f>IF(A21&amp;B21="","",IF(A21="","ERRO: falta ID",IF(COUNTIF(cad_pessoa_id,A21)&gt;1,"ERRO: ID repetido",IF(B21="","ERRO: falta nome","OK"))))</f>
        <v/>
      </c>
    </row>
    <row r="22">
      <c r="A22" s="16" t="n"/>
      <c r="B22" s="18" t="n"/>
      <c r="C22" s="18" t="n"/>
      <c r="D22" s="18" t="n"/>
      <c r="E22" s="16" t="n"/>
      <c r="F22" s="20">
        <f>IF(A22&amp;B22="","",IF(A22="","ERRO: falta ID",IF(COUNTIF(cad_pessoa_id,A22)&gt;1,"ERRO: ID repetido",IF(B22="","ERRO: falta nome","OK"))))</f>
        <v/>
      </c>
    </row>
    <row r="23">
      <c r="A23" s="16" t="n"/>
      <c r="B23" s="18" t="n"/>
      <c r="C23" s="18" t="n"/>
      <c r="D23" s="18" t="n"/>
      <c r="E23" s="16" t="n"/>
      <c r="F23" s="20">
        <f>IF(A23&amp;B23="","",IF(A23="","ERRO: falta ID",IF(COUNTIF(cad_pessoa_id,A23)&gt;1,"ERRO: ID repetido",IF(B23="","ERRO: falta nome","OK"))))</f>
        <v/>
      </c>
    </row>
    <row r="24">
      <c r="A24" s="16" t="n"/>
      <c r="B24" s="18" t="n"/>
      <c r="C24" s="18" t="n"/>
      <c r="D24" s="18" t="n"/>
      <c r="E24" s="16" t="n"/>
      <c r="F24" s="20">
        <f>IF(A24&amp;B24="","",IF(A24="","ERRO: falta ID",IF(COUNTIF(cad_pessoa_id,A24)&gt;1,"ERRO: ID repetido",IF(B24="","ERRO: falta nome","OK"))))</f>
        <v/>
      </c>
    </row>
    <row r="25">
      <c r="A25" s="16" t="n"/>
      <c r="B25" s="18" t="n"/>
      <c r="C25" s="18" t="n"/>
      <c r="D25" s="18" t="n"/>
      <c r="E25" s="16" t="n"/>
      <c r="F25" s="20">
        <f>IF(A25&amp;B25="","",IF(A25="","ERRO: falta ID",IF(COUNTIF(cad_pessoa_id,A25)&gt;1,"ERRO: ID repetido",IF(B25="","ERRO: falta nome","OK"))))</f>
        <v/>
      </c>
    </row>
    <row r="26">
      <c r="A26" s="16" t="n"/>
      <c r="B26" s="18" t="n"/>
      <c r="C26" s="18" t="n"/>
      <c r="D26" s="18" t="n"/>
      <c r="E26" s="16" t="n"/>
      <c r="F26" s="20">
        <f>IF(A26&amp;B26="","",IF(A26="","ERRO: falta ID",IF(COUNTIF(cad_pessoa_id,A26)&gt;1,"ERRO: ID repetido",IF(B26="","ERRO: falta nome","OK"))))</f>
        <v/>
      </c>
    </row>
    <row r="27">
      <c r="A27" s="16" t="n"/>
      <c r="B27" s="18" t="n"/>
      <c r="C27" s="18" t="n"/>
      <c r="D27" s="18" t="n"/>
      <c r="E27" s="16" t="n"/>
      <c r="F27" s="20">
        <f>IF(A27&amp;B27="","",IF(A27="","ERRO: falta ID",IF(COUNTIF(cad_pessoa_id,A27)&gt;1,"ERRO: ID repetido",IF(B27="","ERRO: falta nome","OK"))))</f>
        <v/>
      </c>
    </row>
    <row r="28">
      <c r="A28" s="16" t="n"/>
      <c r="B28" s="18" t="n"/>
      <c r="C28" s="18" t="n"/>
      <c r="D28" s="18" t="n"/>
      <c r="E28" s="16" t="n"/>
      <c r="F28" s="20">
        <f>IF(A28&amp;B28="","",IF(A28="","ERRO: falta ID",IF(COUNTIF(cad_pessoa_id,A28)&gt;1,"ERRO: ID repetido",IF(B28="","ERRO: falta nome","OK"))))</f>
        <v/>
      </c>
    </row>
    <row r="29">
      <c r="A29" s="16" t="n"/>
      <c r="B29" s="18" t="n"/>
      <c r="C29" s="18" t="n"/>
      <c r="D29" s="18" t="n"/>
      <c r="E29" s="16" t="n"/>
      <c r="F29" s="20">
        <f>IF(A29&amp;B29="","",IF(A29="","ERRO: falta ID",IF(COUNTIF(cad_pessoa_id,A29)&gt;1,"ERRO: ID repetido",IF(B29="","ERRO: falta nome","OK"))))</f>
        <v/>
      </c>
    </row>
    <row r="30">
      <c r="A30" s="16" t="n"/>
      <c r="B30" s="18" t="n"/>
      <c r="C30" s="18" t="n"/>
      <c r="D30" s="18" t="n"/>
      <c r="E30" s="16" t="n"/>
      <c r="F30" s="20">
        <f>IF(A30&amp;B30="","",IF(A30="","ERRO: falta ID",IF(COUNTIF(cad_pessoa_id,A30)&gt;1,"ERRO: ID repetido",IF(B30="","ERRO: falta nome","OK"))))</f>
        <v/>
      </c>
    </row>
    <row r="31">
      <c r="A31" s="16" t="n"/>
      <c r="B31" s="18" t="n"/>
      <c r="C31" s="18" t="n"/>
      <c r="D31" s="18" t="n"/>
      <c r="E31" s="16" t="n"/>
      <c r="F31" s="20">
        <f>IF(A31&amp;B31="","",IF(A31="","ERRO: falta ID",IF(COUNTIF(cad_pessoa_id,A31)&gt;1,"ERRO: ID repetido",IF(B31="","ERRO: falta nome","OK"))))</f>
        <v/>
      </c>
    </row>
    <row r="32">
      <c r="A32" s="16" t="n"/>
      <c r="B32" s="18" t="n"/>
      <c r="C32" s="18" t="n"/>
      <c r="D32" s="18" t="n"/>
      <c r="E32" s="16" t="n"/>
      <c r="F32" s="20">
        <f>IF(A32&amp;B32="","",IF(A32="","ERRO: falta ID",IF(COUNTIF(cad_pessoa_id,A32)&gt;1,"ERRO: ID repetido",IF(B32="","ERRO: falta nome","OK"))))</f>
        <v/>
      </c>
    </row>
    <row r="33">
      <c r="A33" s="16" t="n"/>
      <c r="B33" s="18" t="n"/>
      <c r="C33" s="18" t="n"/>
      <c r="D33" s="18" t="n"/>
      <c r="E33" s="16" t="n"/>
      <c r="F33" s="20">
        <f>IF(A33&amp;B33="","",IF(A33="","ERRO: falta ID",IF(COUNTIF(cad_pessoa_id,A33)&gt;1,"ERRO: ID repetido",IF(B33="","ERRO: falta nome","OK"))))</f>
        <v/>
      </c>
    </row>
    <row r="34">
      <c r="A34" s="16" t="n"/>
      <c r="B34" s="18" t="n"/>
      <c r="C34" s="18" t="n"/>
      <c r="D34" s="18" t="n"/>
      <c r="E34" s="16" t="n"/>
      <c r="F34" s="20">
        <f>IF(A34&amp;B34="","",IF(A34="","ERRO: falta ID",IF(COUNTIF(cad_pessoa_id,A34)&gt;1,"ERRO: ID repetido",IF(B34="","ERRO: falta nome","OK"))))</f>
        <v/>
      </c>
    </row>
    <row r="35">
      <c r="A35" s="16" t="n"/>
      <c r="B35" s="18" t="n"/>
      <c r="C35" s="18" t="n"/>
      <c r="D35" s="18" t="n"/>
      <c r="E35" s="16" t="n"/>
      <c r="F35" s="20">
        <f>IF(A35&amp;B35="","",IF(A35="","ERRO: falta ID",IF(COUNTIF(cad_pessoa_id,A35)&gt;1,"ERRO: ID repetido",IF(B35="","ERRO: falta nome","OK"))))</f>
        <v/>
      </c>
    </row>
    <row r="36">
      <c r="A36" s="16" t="n"/>
      <c r="B36" s="18" t="n"/>
      <c r="C36" s="18" t="n"/>
      <c r="D36" s="18" t="n"/>
      <c r="E36" s="16" t="n"/>
      <c r="F36" s="20">
        <f>IF(A36&amp;B36="","",IF(A36="","ERRO: falta ID",IF(COUNTIF(cad_pessoa_id,A36)&gt;1,"ERRO: ID repetido",IF(B36="","ERRO: falta nome","OK"))))</f>
        <v/>
      </c>
    </row>
    <row r="37">
      <c r="A37" s="16" t="n"/>
      <c r="B37" s="18" t="n"/>
      <c r="C37" s="18" t="n"/>
      <c r="D37" s="18" t="n"/>
      <c r="E37" s="16" t="n"/>
      <c r="F37" s="20">
        <f>IF(A37&amp;B37="","",IF(A37="","ERRO: falta ID",IF(COUNTIF(cad_pessoa_id,A37)&gt;1,"ERRO: ID repetido",IF(B37="","ERRO: falta nome","OK"))))</f>
        <v/>
      </c>
    </row>
    <row r="38">
      <c r="A38" s="16" t="n"/>
      <c r="B38" s="18" t="n"/>
      <c r="C38" s="18" t="n"/>
      <c r="D38" s="18" t="n"/>
      <c r="E38" s="16" t="n"/>
      <c r="F38" s="20">
        <f>IF(A38&amp;B38="","",IF(A38="","ERRO: falta ID",IF(COUNTIF(cad_pessoa_id,A38)&gt;1,"ERRO: ID repetido",IF(B38="","ERRO: falta nome","OK"))))</f>
        <v/>
      </c>
    </row>
    <row r="39">
      <c r="A39" s="16" t="n"/>
      <c r="B39" s="18" t="n"/>
      <c r="C39" s="18" t="n"/>
      <c r="D39" s="18" t="n"/>
      <c r="E39" s="16" t="n"/>
      <c r="F39" s="20">
        <f>IF(A39&amp;B39="","",IF(A39="","ERRO: falta ID",IF(COUNTIF(cad_pessoa_id,A39)&gt;1,"ERRO: ID repetido",IF(B39="","ERRO: falta nome","OK"))))</f>
        <v/>
      </c>
    </row>
    <row r="40">
      <c r="A40" s="16" t="n"/>
      <c r="B40" s="18" t="n"/>
      <c r="C40" s="18" t="n"/>
      <c r="D40" s="18" t="n"/>
      <c r="E40" s="16" t="n"/>
      <c r="F40" s="20">
        <f>IF(A40&amp;B40="","",IF(A40="","ERRO: falta ID",IF(COUNTIF(cad_pessoa_id,A40)&gt;1,"ERRO: ID repetido",IF(B40="","ERRO: falta nome","OK"))))</f>
        <v/>
      </c>
    </row>
    <row r="41">
      <c r="A41" s="16" t="n"/>
      <c r="B41" s="18" t="n"/>
      <c r="C41" s="18" t="n"/>
      <c r="D41" s="18" t="n"/>
      <c r="E41" s="16" t="n"/>
      <c r="F41" s="20">
        <f>IF(A41&amp;B41="","",IF(A41="","ERRO: falta ID",IF(COUNTIF(cad_pessoa_id,A41)&gt;1,"ERRO: ID repetido",IF(B41="","ERRO: falta nome","OK"))))</f>
        <v/>
      </c>
    </row>
    <row r="42">
      <c r="A42" s="16" t="n"/>
      <c r="B42" s="18" t="n"/>
      <c r="C42" s="18" t="n"/>
      <c r="D42" s="18" t="n"/>
      <c r="E42" s="16" t="n"/>
      <c r="F42" s="20">
        <f>IF(A42&amp;B42="","",IF(A42="","ERRO: falta ID",IF(COUNTIF(cad_pessoa_id,A42)&gt;1,"ERRO: ID repetido",IF(B42="","ERRO: falta nome","OK"))))</f>
        <v/>
      </c>
    </row>
    <row r="43">
      <c r="A43" s="16" t="n"/>
      <c r="B43" s="18" t="n"/>
      <c r="C43" s="18" t="n"/>
      <c r="D43" s="18" t="n"/>
      <c r="E43" s="16" t="n"/>
      <c r="F43" s="20">
        <f>IF(A43&amp;B43="","",IF(A43="","ERRO: falta ID",IF(COUNTIF(cad_pessoa_id,A43)&gt;1,"ERRO: ID repetido",IF(B43="","ERRO: falta nome","OK"))))</f>
        <v/>
      </c>
    </row>
    <row r="44">
      <c r="A44" s="16" t="n"/>
      <c r="B44" s="18" t="n"/>
      <c r="C44" s="18" t="n"/>
      <c r="D44" s="18" t="n"/>
      <c r="E44" s="16" t="n"/>
      <c r="F44" s="20">
        <f>IF(A44&amp;B44="","",IF(A44="","ERRO: falta ID",IF(COUNTIF(cad_pessoa_id,A44)&gt;1,"ERRO: ID repetido",IF(B44="","ERRO: falta nome","OK"))))</f>
        <v/>
      </c>
    </row>
    <row r="45">
      <c r="A45" s="16" t="n"/>
      <c r="B45" s="18" t="n"/>
      <c r="C45" s="18" t="n"/>
      <c r="D45" s="18" t="n"/>
      <c r="E45" s="16" t="n"/>
      <c r="F45" s="20">
        <f>IF(A45&amp;B45="","",IF(A45="","ERRO: falta ID",IF(COUNTIF(cad_pessoa_id,A45)&gt;1,"ERRO: ID repetido",IF(B45="","ERRO: falta nome","OK"))))</f>
        <v/>
      </c>
    </row>
    <row r="46">
      <c r="A46" s="16" t="n"/>
      <c r="B46" s="18" t="n"/>
      <c r="C46" s="18" t="n"/>
      <c r="D46" s="18" t="n"/>
      <c r="E46" s="16" t="n"/>
      <c r="F46" s="20">
        <f>IF(A46&amp;B46="","",IF(A46="","ERRO: falta ID",IF(COUNTIF(cad_pessoa_id,A46)&gt;1,"ERRO: ID repetido",IF(B46="","ERRO: falta nome","OK"))))</f>
        <v/>
      </c>
    </row>
    <row r="47">
      <c r="A47" s="16" t="n"/>
      <c r="B47" s="18" t="n"/>
      <c r="C47" s="18" t="n"/>
      <c r="D47" s="18" t="n"/>
      <c r="E47" s="16" t="n"/>
      <c r="F47" s="20">
        <f>IF(A47&amp;B47="","",IF(A47="","ERRO: falta ID",IF(COUNTIF(cad_pessoa_id,A47)&gt;1,"ERRO: ID repetido",IF(B47="","ERRO: falta nome","OK"))))</f>
        <v/>
      </c>
    </row>
    <row r="48">
      <c r="A48" s="16" t="n"/>
      <c r="B48" s="18" t="n"/>
      <c r="C48" s="18" t="n"/>
      <c r="D48" s="18" t="n"/>
      <c r="E48" s="16" t="n"/>
      <c r="F48" s="20">
        <f>IF(A48&amp;B48="","",IF(A48="","ERRO: falta ID",IF(COUNTIF(cad_pessoa_id,A48)&gt;1,"ERRO: ID repetido",IF(B48="","ERRO: falta nome","OK"))))</f>
        <v/>
      </c>
    </row>
    <row r="49">
      <c r="A49" s="16" t="n"/>
      <c r="B49" s="18" t="n"/>
      <c r="C49" s="18" t="n"/>
      <c r="D49" s="18" t="n"/>
      <c r="E49" s="16" t="n"/>
      <c r="F49" s="20">
        <f>IF(A49&amp;B49="","",IF(A49="","ERRO: falta ID",IF(COUNTIF(cad_pessoa_id,A49)&gt;1,"ERRO: ID repetido",IF(B49="","ERRO: falta nome","OK"))))</f>
        <v/>
      </c>
    </row>
    <row r="50">
      <c r="A50" s="16" t="n"/>
      <c r="B50" s="18" t="n"/>
      <c r="C50" s="18" t="n"/>
      <c r="D50" s="18" t="n"/>
      <c r="E50" s="16" t="n"/>
      <c r="F50" s="20">
        <f>IF(A50&amp;B50="","",IF(A50="","ERRO: falta ID",IF(COUNTIF(cad_pessoa_id,A50)&gt;1,"ERRO: ID repetido",IF(B50="","ERRO: falta nome","OK"))))</f>
        <v/>
      </c>
    </row>
    <row r="51">
      <c r="A51" s="16" t="n"/>
      <c r="B51" s="18" t="n"/>
      <c r="C51" s="18" t="n"/>
      <c r="D51" s="18" t="n"/>
      <c r="E51" s="16" t="n"/>
      <c r="F51" s="20">
        <f>IF(A51&amp;B51="","",IF(A51="","ERRO: falta ID",IF(COUNTIF(cad_pessoa_id,A51)&gt;1,"ERRO: ID repetido",IF(B51="","ERRO: falta nome","OK"))))</f>
        <v/>
      </c>
    </row>
    <row r="52">
      <c r="A52" s="16" t="n"/>
      <c r="B52" s="18" t="n"/>
      <c r="C52" s="18" t="n"/>
      <c r="D52" s="18" t="n"/>
      <c r="E52" s="16" t="n"/>
      <c r="F52" s="20">
        <f>IF(A52&amp;B52="","",IF(A52="","ERRO: falta ID",IF(COUNTIF(cad_pessoa_id,A52)&gt;1,"ERRO: ID repetido",IF(B52="","ERRO: falta nome","OK"))))</f>
        <v/>
      </c>
    </row>
    <row r="53">
      <c r="A53" s="16" t="n"/>
      <c r="B53" s="18" t="n"/>
      <c r="C53" s="18" t="n"/>
      <c r="D53" s="18" t="n"/>
      <c r="E53" s="16" t="n"/>
      <c r="F53" s="20">
        <f>IF(A53&amp;B53="","",IF(A53="","ERRO: falta ID",IF(COUNTIF(cad_pessoa_id,A53)&gt;1,"ERRO: ID repetido",IF(B53="","ERRO: falta nome","OK"))))</f>
        <v/>
      </c>
    </row>
    <row r="54">
      <c r="A54" s="16" t="n"/>
      <c r="B54" s="18" t="n"/>
      <c r="C54" s="18" t="n"/>
      <c r="D54" s="18" t="n"/>
      <c r="E54" s="16" t="n"/>
      <c r="F54" s="20">
        <f>IF(A54&amp;B54="","",IF(A54="","ERRO: falta ID",IF(COUNTIF(cad_pessoa_id,A54)&gt;1,"ERRO: ID repetido",IF(B54="","ERRO: falta nome","OK"))))</f>
        <v/>
      </c>
    </row>
    <row r="55">
      <c r="A55" s="16" t="n"/>
      <c r="B55" s="18" t="n"/>
      <c r="C55" s="18" t="n"/>
      <c r="D55" s="18" t="n"/>
      <c r="E55" s="16" t="n"/>
      <c r="F55" s="20">
        <f>IF(A55&amp;B55="","",IF(A55="","ERRO: falta ID",IF(COUNTIF(cad_pessoa_id,A55)&gt;1,"ERRO: ID repetido",IF(B55="","ERRO: falta nome","OK"))))</f>
        <v/>
      </c>
    </row>
    <row r="56">
      <c r="A56" s="16" t="n"/>
      <c r="B56" s="18" t="n"/>
      <c r="C56" s="18" t="n"/>
      <c r="D56" s="18" t="n"/>
      <c r="E56" s="16" t="n"/>
      <c r="F56" s="20">
        <f>IF(A56&amp;B56="","",IF(A56="","ERRO: falta ID",IF(COUNTIF(cad_pessoa_id,A56)&gt;1,"ERRO: ID repetido",IF(B56="","ERRO: falta nome","OK"))))</f>
        <v/>
      </c>
    </row>
    <row r="57">
      <c r="A57" s="16" t="n"/>
      <c r="B57" s="18" t="n"/>
      <c r="C57" s="18" t="n"/>
      <c r="D57" s="18" t="n"/>
      <c r="E57" s="16" t="n"/>
      <c r="F57" s="20">
        <f>IF(A57&amp;B57="","",IF(A57="","ERRO: falta ID",IF(COUNTIF(cad_pessoa_id,A57)&gt;1,"ERRO: ID repetido",IF(B57="","ERRO: falta nome","OK"))))</f>
        <v/>
      </c>
    </row>
    <row r="58">
      <c r="A58" s="16" t="n"/>
      <c r="B58" s="18" t="n"/>
      <c r="C58" s="18" t="n"/>
      <c r="D58" s="18" t="n"/>
      <c r="E58" s="16" t="n"/>
      <c r="F58" s="20">
        <f>IF(A58&amp;B58="","",IF(A58="","ERRO: falta ID",IF(COUNTIF(cad_pessoa_id,A58)&gt;1,"ERRO: ID repetido",IF(B58="","ERRO: falta nome","OK"))))</f>
        <v/>
      </c>
    </row>
    <row r="59">
      <c r="A59" s="16" t="n"/>
      <c r="B59" s="18" t="n"/>
      <c r="C59" s="18" t="n"/>
      <c r="D59" s="18" t="n"/>
      <c r="E59" s="16" t="n"/>
      <c r="F59" s="20">
        <f>IF(A59&amp;B59="","",IF(A59="","ERRO: falta ID",IF(COUNTIF(cad_pessoa_id,A59)&gt;1,"ERRO: ID repetido",IF(B59="","ERRO: falta nome","OK"))))</f>
        <v/>
      </c>
    </row>
    <row r="60">
      <c r="A60" s="16" t="n"/>
      <c r="B60" s="18" t="n"/>
      <c r="C60" s="18" t="n"/>
      <c r="D60" s="18" t="n"/>
      <c r="E60" s="16" t="n"/>
      <c r="F60" s="20">
        <f>IF(A60&amp;B60="","",IF(A60="","ERRO: falta ID",IF(COUNTIF(cad_pessoa_id,A60)&gt;1,"ERRO: ID repetido",IF(B60="","ERRO: falta nome","OK"))))</f>
        <v/>
      </c>
    </row>
    <row r="61">
      <c r="A61" s="16" t="n"/>
      <c r="B61" s="18" t="n"/>
      <c r="C61" s="18" t="n"/>
      <c r="D61" s="18" t="n"/>
      <c r="E61" s="16" t="n"/>
      <c r="F61" s="20">
        <f>IF(A61&amp;B61="","",IF(A61="","ERRO: falta ID",IF(COUNTIF(cad_pessoa_id,A61)&gt;1,"ERRO: ID repetido",IF(B61="","ERRO: falta nome","OK"))))</f>
        <v/>
      </c>
    </row>
    <row r="62">
      <c r="A62" s="16" t="n"/>
      <c r="B62" s="18" t="n"/>
      <c r="C62" s="18" t="n"/>
      <c r="D62" s="18" t="n"/>
      <c r="E62" s="16" t="n"/>
      <c r="F62" s="20">
        <f>IF(A62&amp;B62="","",IF(A62="","ERRO: falta ID",IF(COUNTIF(cad_pessoa_id,A62)&gt;1,"ERRO: ID repetido",IF(B62="","ERRO: falta nome","OK"))))</f>
        <v/>
      </c>
    </row>
    <row r="63">
      <c r="A63" s="16" t="n"/>
      <c r="B63" s="18" t="n"/>
      <c r="C63" s="18" t="n"/>
      <c r="D63" s="18" t="n"/>
      <c r="E63" s="16" t="n"/>
      <c r="F63" s="20">
        <f>IF(A63&amp;B63="","",IF(A63="","ERRO: falta ID",IF(COUNTIF(cad_pessoa_id,A63)&gt;1,"ERRO: ID repetido",IF(B63="","ERRO: falta nome","OK"))))</f>
        <v/>
      </c>
    </row>
    <row r="64">
      <c r="A64" s="16" t="n"/>
      <c r="B64" s="18" t="n"/>
      <c r="C64" s="18" t="n"/>
      <c r="D64" s="18" t="n"/>
      <c r="E64" s="16" t="n"/>
      <c r="F64" s="20">
        <f>IF(A64&amp;B64="","",IF(A64="","ERRO: falta ID",IF(COUNTIF(cad_pessoa_id,A64)&gt;1,"ERRO: ID repetido",IF(B64="","ERRO: falta nome","OK"))))</f>
        <v/>
      </c>
    </row>
    <row r="65">
      <c r="A65" s="16" t="n"/>
      <c r="B65" s="18" t="n"/>
      <c r="C65" s="18" t="n"/>
      <c r="D65" s="18" t="n"/>
      <c r="E65" s="16" t="n"/>
      <c r="F65" s="20">
        <f>IF(A65&amp;B65="","",IF(A65="","ERRO: falta ID",IF(COUNTIF(cad_pessoa_id,A65)&gt;1,"ERRO: ID repetido",IF(B65="","ERRO: falta nome","OK"))))</f>
        <v/>
      </c>
    </row>
    <row r="66">
      <c r="A66" s="16" t="n"/>
      <c r="B66" s="18" t="n"/>
      <c r="C66" s="18" t="n"/>
      <c r="D66" s="18" t="n"/>
      <c r="E66" s="16" t="n"/>
      <c r="F66" s="20">
        <f>IF(A66&amp;B66="","",IF(A66="","ERRO: falta ID",IF(COUNTIF(cad_pessoa_id,A66)&gt;1,"ERRO: ID repetido",IF(B66="","ERRO: falta nome","OK"))))</f>
        <v/>
      </c>
    </row>
  </sheetData>
  <autoFilter ref="A6:F66"/>
  <mergeCells count="6">
    <mergeCell ref="C3:F3"/>
    <mergeCell ref="E2:F2"/>
    <mergeCell ref="C1:D2"/>
    <mergeCell ref="E1:F1"/>
    <mergeCell ref="A5:F5"/>
    <mergeCell ref="A1:B2"/>
  </mergeCells>
  <conditionalFormatting sqref="A7:F66">
    <cfRule type="expression" priority="1" dxfId="3">
      <formula>$E7="Não"</formula>
    </cfRule>
    <cfRule type="expression" priority="4" dxfId="2">
      <formula>AND($A7&lt;&gt;"",MOD(ROW(),2)=0)</formula>
    </cfRule>
  </conditionalFormatting>
  <conditionalFormatting sqref="F7:F66">
    <cfRule type="expression" priority="2" dxfId="0" stopIfTrue="1">
      <formula>OR(LEFT(F7,4)="ERRO",LEFT(F7,7)="ATENÇÃO")</formula>
    </cfRule>
    <cfRule type="expression" priority="3" dxfId="1" stopIfTrue="1">
      <formula>OR(LEFT(F7,8)="Pendente",LEFT(F7,9)="Verificar",LEFT(F7,9)="Duplicada",LEFT(F7,7)="Tarefa ",LEFT(F7,13)="Fora do plano",LEFT(F7,8)="Previsão",LEFT(F7,11)="Sem vínculo",LEFT(F7,14)="Não verificado",LEFT(F7,7)="Informe")</formula>
    </cfRule>
  </conditionalFormatting>
  <dataValidations count="2">
    <dataValidation sqref="A7:A66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AND(LEN(A7)&lt;=120,ISERROR(FIND("|",A7)),ISERROR(FIND(" ",A7)))</formula1>
    </dataValidation>
    <dataValidation sqref="E7:E66" showDropDown="0" showInputMessage="1" showErrorMessage="1" allowBlank="1" errorTitle="Valor não aceito" error="Use Sim ou Não." promptTitle="Ativa" prompt="Escolha Sim ou Não." type="list">
      <formula1>=lst_sim_nao</formula1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30" customWidth="1" min="5" max="5"/>
    <col width="14" customWidth="1" min="6" max="6"/>
    <col width="32" customWidth="1" min="7" max="7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Requisitos e referências</t>
          </r>
        </is>
      </c>
      <c r="D1" s="4" t="n"/>
      <c r="E1" s="4" t="n"/>
      <c r="F1" s="2" t="n"/>
      <c r="G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7" t="n"/>
      <c r="G2" s="22">
        <f>"Elaborado: "&amp;IF(cfg_elaborado="","A definir",cfg_elaborado)&amp;"   ·   Aprovado: "&amp;IF(cfg_aprovado="","A definir",cfg_aprovado)</f>
        <v/>
      </c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REFERÊNCIA</t>
        </is>
      </c>
      <c r="B5" s="12" t="n"/>
      <c r="C5" s="12" t="n"/>
      <c r="D5" s="12" t="n"/>
      <c r="E5" s="13" t="n"/>
      <c r="F5" s="11" t="inlineStr">
        <is>
          <t>VERIFICAÇÃO</t>
        </is>
      </c>
      <c r="G5" s="13" t="n"/>
    </row>
    <row r="6" ht="24" customHeight="1">
      <c r="A6" s="14" t="inlineStr">
        <is>
          <t>ID do requisito</t>
        </is>
      </c>
      <c r="B6" s="14" t="inlineStr">
        <is>
          <t>Referência</t>
        </is>
      </c>
      <c r="C6" s="14" t="inlineStr">
        <is>
          <t>Versão</t>
        </is>
      </c>
      <c r="D6" s="14" t="inlineStr">
        <is>
          <t>Data</t>
        </is>
      </c>
      <c r="E6" s="14" t="inlineStr">
        <is>
          <t>Fonte oficial (HTTPS)</t>
        </is>
      </c>
      <c r="F6" s="14" t="inlineStr">
        <is>
          <t>Status</t>
        </is>
      </c>
      <c r="G6" s="15" t="inlineStr">
        <is>
          <t>Conferência</t>
        </is>
      </c>
    </row>
    <row r="7">
      <c r="A7" s="16" t="n"/>
      <c r="B7" s="17" t="n"/>
      <c r="C7" s="16" t="n"/>
      <c r="D7" s="19" t="n"/>
      <c r="E7" s="17" t="n"/>
      <c r="F7" s="18" t="n"/>
      <c r="G7" s="31">
        <f>IF(A7&amp;B7="","",IF(F7="Verificado",IF(OR(C7="",NOT(ISNUMBER(D7)),LEFT(E7,8)&lt;&gt;"https://"),"ERRO: Verificado exige versão, data e fonte HTTPS","Verificado pelo responsável (não certifica conformidade)"),"Não verificado: verificar na fonte oficial"))</f>
        <v/>
      </c>
    </row>
    <row r="8">
      <c r="A8" s="16" t="n"/>
      <c r="B8" s="17" t="n"/>
      <c r="C8" s="16" t="n"/>
      <c r="D8" s="19" t="n"/>
      <c r="E8" s="17" t="n"/>
      <c r="F8" s="18" t="n"/>
      <c r="G8" s="31">
        <f>IF(A8&amp;B8="","",IF(F8="Verificado",IF(OR(C8="",NOT(ISNUMBER(D8)),LEFT(E8,8)&lt;&gt;"https://"),"ERRO: Verificado exige versão, data e fonte HTTPS","Verificado pelo responsável (não certifica conformidade)"),"Não verificado: verificar na fonte oficial"))</f>
        <v/>
      </c>
    </row>
    <row r="9">
      <c r="A9" s="16" t="n"/>
      <c r="B9" s="17" t="n"/>
      <c r="C9" s="16" t="n"/>
      <c r="D9" s="19" t="n"/>
      <c r="E9" s="17" t="n"/>
      <c r="F9" s="18" t="n"/>
      <c r="G9" s="31">
        <f>IF(A9&amp;B9="","",IF(F9="Verificado",IF(OR(C9="",NOT(ISNUMBER(D9)),LEFT(E9,8)&lt;&gt;"https://"),"ERRO: Verificado exige versão, data e fonte HTTPS","Verificado pelo responsável (não certifica conformidade)"),"Não verificado: verificar na fonte oficial"))</f>
        <v/>
      </c>
    </row>
    <row r="10">
      <c r="A10" s="16" t="n"/>
      <c r="B10" s="17" t="n"/>
      <c r="C10" s="16" t="n"/>
      <c r="D10" s="19" t="n"/>
      <c r="E10" s="17" t="n"/>
      <c r="F10" s="18" t="n"/>
      <c r="G10" s="31">
        <f>IF(A10&amp;B10="","",IF(F10="Verificado",IF(OR(C10="",NOT(ISNUMBER(D10)),LEFT(E10,8)&lt;&gt;"https://"),"ERRO: Verificado exige versão, data e fonte HTTPS","Verificado pelo responsável (não certifica conformidade)"),"Não verificado: verificar na fonte oficial"))</f>
        <v/>
      </c>
    </row>
    <row r="11">
      <c r="A11" s="16" t="n"/>
      <c r="B11" s="17" t="n"/>
      <c r="C11" s="16" t="n"/>
      <c r="D11" s="19" t="n"/>
      <c r="E11" s="17" t="n"/>
      <c r="F11" s="18" t="n"/>
      <c r="G11" s="31">
        <f>IF(A11&amp;B11="","",IF(F11="Verificado",IF(OR(C11="",NOT(ISNUMBER(D11)),LEFT(E11,8)&lt;&gt;"https://"),"ERRO: Verificado exige versão, data e fonte HTTPS","Verificado pelo responsável (não certifica conformidade)"),"Não verificado: verificar na fonte oficial"))</f>
        <v/>
      </c>
    </row>
    <row r="12">
      <c r="A12" s="16" t="n"/>
      <c r="B12" s="17" t="n"/>
      <c r="C12" s="16" t="n"/>
      <c r="D12" s="19" t="n"/>
      <c r="E12" s="17" t="n"/>
      <c r="F12" s="18" t="n"/>
      <c r="G12" s="31">
        <f>IF(A12&amp;B12="","",IF(F12="Verificado",IF(OR(C12="",NOT(ISNUMBER(D12)),LEFT(E12,8)&lt;&gt;"https://"),"ERRO: Verificado exige versão, data e fonte HTTPS","Verificado pelo responsável (não certifica conformidade)"),"Não verificado: verificar na fonte oficial"))</f>
        <v/>
      </c>
    </row>
    <row r="13">
      <c r="A13" s="16" t="n"/>
      <c r="B13" s="17" t="n"/>
      <c r="C13" s="16" t="n"/>
      <c r="D13" s="19" t="n"/>
      <c r="E13" s="17" t="n"/>
      <c r="F13" s="18" t="n"/>
      <c r="G13" s="31">
        <f>IF(A13&amp;B13="","",IF(F13="Verificado",IF(OR(C13="",NOT(ISNUMBER(D13)),LEFT(E13,8)&lt;&gt;"https://"),"ERRO: Verificado exige versão, data e fonte HTTPS","Verificado pelo responsável (não certifica conformidade)"),"Não verificado: verificar na fonte oficial"))</f>
        <v/>
      </c>
    </row>
    <row r="14">
      <c r="A14" s="16" t="n"/>
      <c r="B14" s="17" t="n"/>
      <c r="C14" s="16" t="n"/>
      <c r="D14" s="19" t="n"/>
      <c r="E14" s="17" t="n"/>
      <c r="F14" s="18" t="n"/>
      <c r="G14" s="31">
        <f>IF(A14&amp;B14="","",IF(F14="Verificado",IF(OR(C14="",NOT(ISNUMBER(D14)),LEFT(E14,8)&lt;&gt;"https://"),"ERRO: Verificado exige versão, data e fonte HTTPS","Verificado pelo responsável (não certifica conformidade)"),"Não verificado: verificar na fonte oficial"))</f>
        <v/>
      </c>
    </row>
    <row r="15">
      <c r="A15" s="16" t="n"/>
      <c r="B15" s="17" t="n"/>
      <c r="C15" s="16" t="n"/>
      <c r="D15" s="19" t="n"/>
      <c r="E15" s="17" t="n"/>
      <c r="F15" s="18" t="n"/>
      <c r="G15" s="31">
        <f>IF(A15&amp;B15="","",IF(F15="Verificado",IF(OR(C15="",NOT(ISNUMBER(D15)),LEFT(E15,8)&lt;&gt;"https://"),"ERRO: Verificado exige versão, data e fonte HTTPS","Verificado pelo responsável (não certifica conformidade)"),"Não verificado: verificar na fonte oficial"))</f>
        <v/>
      </c>
    </row>
    <row r="16">
      <c r="A16" s="16" t="n"/>
      <c r="B16" s="17" t="n"/>
      <c r="C16" s="16" t="n"/>
      <c r="D16" s="19" t="n"/>
      <c r="E16" s="17" t="n"/>
      <c r="F16" s="18" t="n"/>
      <c r="G16" s="31">
        <f>IF(A16&amp;B16="","",IF(F16="Verificado",IF(OR(C16="",NOT(ISNUMBER(D16)),LEFT(E16,8)&lt;&gt;"https://"),"ERRO: Verificado exige versão, data e fonte HTTPS","Verificado pelo responsável (não certifica conformidade)"),"Não verificado: verificar na fonte oficial"))</f>
        <v/>
      </c>
    </row>
    <row r="17">
      <c r="A17" s="16" t="n"/>
      <c r="B17" s="17" t="n"/>
      <c r="C17" s="16" t="n"/>
      <c r="D17" s="19" t="n"/>
      <c r="E17" s="17" t="n"/>
      <c r="F17" s="18" t="n"/>
      <c r="G17" s="31">
        <f>IF(A17&amp;B17="","",IF(F17="Verificado",IF(OR(C17="",NOT(ISNUMBER(D17)),LEFT(E17,8)&lt;&gt;"https://"),"ERRO: Verificado exige versão, data e fonte HTTPS","Verificado pelo responsável (não certifica conformidade)"),"Não verificado: verificar na fonte oficial"))</f>
        <v/>
      </c>
    </row>
    <row r="18">
      <c r="A18" s="16" t="n"/>
      <c r="B18" s="17" t="n"/>
      <c r="C18" s="16" t="n"/>
      <c r="D18" s="19" t="n"/>
      <c r="E18" s="17" t="n"/>
      <c r="F18" s="18" t="n"/>
      <c r="G18" s="31">
        <f>IF(A18&amp;B18="","",IF(F18="Verificado",IF(OR(C18="",NOT(ISNUMBER(D18)),LEFT(E18,8)&lt;&gt;"https://"),"ERRO: Verificado exige versão, data e fonte HTTPS","Verificado pelo responsável (não certifica conformidade)"),"Não verificado: verificar na fonte oficial"))</f>
        <v/>
      </c>
    </row>
    <row r="19">
      <c r="A19" s="16" t="n"/>
      <c r="B19" s="17" t="n"/>
      <c r="C19" s="16" t="n"/>
      <c r="D19" s="19" t="n"/>
      <c r="E19" s="17" t="n"/>
      <c r="F19" s="18" t="n"/>
      <c r="G19" s="31">
        <f>IF(A19&amp;B19="","",IF(F19="Verificado",IF(OR(C19="",NOT(ISNUMBER(D19)),LEFT(E19,8)&lt;&gt;"https://"),"ERRO: Verificado exige versão, data e fonte HTTPS","Verificado pelo responsável (não certifica conformidade)"),"Não verificado: verificar na fonte oficial"))</f>
        <v/>
      </c>
    </row>
    <row r="20">
      <c r="A20" s="16" t="n"/>
      <c r="B20" s="17" t="n"/>
      <c r="C20" s="16" t="n"/>
      <c r="D20" s="19" t="n"/>
      <c r="E20" s="17" t="n"/>
      <c r="F20" s="18" t="n"/>
      <c r="G20" s="31">
        <f>IF(A20&amp;B20="","",IF(F20="Verificado",IF(OR(C20="",NOT(ISNUMBER(D20)),LEFT(E20,8)&lt;&gt;"https://"),"ERRO: Verificado exige versão, data e fonte HTTPS","Verificado pelo responsável (não certifica conformidade)"),"Não verificado: verificar na fonte oficial"))</f>
        <v/>
      </c>
    </row>
    <row r="21">
      <c r="A21" s="16" t="n"/>
      <c r="B21" s="17" t="n"/>
      <c r="C21" s="16" t="n"/>
      <c r="D21" s="19" t="n"/>
      <c r="E21" s="17" t="n"/>
      <c r="F21" s="18" t="n"/>
      <c r="G21" s="31">
        <f>IF(A21&amp;B21="","",IF(F21="Verificado",IF(OR(C21="",NOT(ISNUMBER(D21)),LEFT(E21,8)&lt;&gt;"https://"),"ERRO: Verificado exige versão, data e fonte HTTPS","Verificado pelo responsável (não certifica conformidade)"),"Não verificado: verificar na fonte oficial"))</f>
        <v/>
      </c>
    </row>
    <row r="22">
      <c r="A22" s="16" t="n"/>
      <c r="B22" s="17" t="n"/>
      <c r="C22" s="16" t="n"/>
      <c r="D22" s="19" t="n"/>
      <c r="E22" s="17" t="n"/>
      <c r="F22" s="18" t="n"/>
      <c r="G22" s="31">
        <f>IF(A22&amp;B22="","",IF(F22="Verificado",IF(OR(C22="",NOT(ISNUMBER(D22)),LEFT(E22,8)&lt;&gt;"https://"),"ERRO: Verificado exige versão, data e fonte HTTPS","Verificado pelo responsável (não certifica conformidade)"),"Não verificado: verificar na fonte oficial"))</f>
        <v/>
      </c>
    </row>
    <row r="23">
      <c r="A23" s="16" t="n"/>
      <c r="B23" s="17" t="n"/>
      <c r="C23" s="16" t="n"/>
      <c r="D23" s="19" t="n"/>
      <c r="E23" s="17" t="n"/>
      <c r="F23" s="18" t="n"/>
      <c r="G23" s="31">
        <f>IF(A23&amp;B23="","",IF(F23="Verificado",IF(OR(C23="",NOT(ISNUMBER(D23)),LEFT(E23,8)&lt;&gt;"https://"),"ERRO: Verificado exige versão, data e fonte HTTPS","Verificado pelo responsável (não certifica conformidade)"),"Não verificado: verificar na fonte oficial"))</f>
        <v/>
      </c>
    </row>
    <row r="24">
      <c r="A24" s="16" t="n"/>
      <c r="B24" s="17" t="n"/>
      <c r="C24" s="16" t="n"/>
      <c r="D24" s="19" t="n"/>
      <c r="E24" s="17" t="n"/>
      <c r="F24" s="18" t="n"/>
      <c r="G24" s="31">
        <f>IF(A24&amp;B24="","",IF(F24="Verificado",IF(OR(C24="",NOT(ISNUMBER(D24)),LEFT(E24,8)&lt;&gt;"https://"),"ERRO: Verificado exige versão, data e fonte HTTPS","Verificado pelo responsável (não certifica conformidade)"),"Não verificado: verificar na fonte oficial"))</f>
        <v/>
      </c>
    </row>
    <row r="25">
      <c r="A25" s="16" t="n"/>
      <c r="B25" s="17" t="n"/>
      <c r="C25" s="16" t="n"/>
      <c r="D25" s="19" t="n"/>
      <c r="E25" s="17" t="n"/>
      <c r="F25" s="18" t="n"/>
      <c r="G25" s="31">
        <f>IF(A25&amp;B25="","",IF(F25="Verificado",IF(OR(C25="",NOT(ISNUMBER(D25)),LEFT(E25,8)&lt;&gt;"https://"),"ERRO: Verificado exige versão, data e fonte HTTPS","Verificado pelo responsável (não certifica conformidade)"),"Não verificado: verificar na fonte oficial"))</f>
        <v/>
      </c>
    </row>
    <row r="26">
      <c r="A26" s="16" t="n"/>
      <c r="B26" s="17" t="n"/>
      <c r="C26" s="16" t="n"/>
      <c r="D26" s="19" t="n"/>
      <c r="E26" s="17" t="n"/>
      <c r="F26" s="18" t="n"/>
      <c r="G26" s="31">
        <f>IF(A26&amp;B26="","",IF(F26="Verificado",IF(OR(C26="",NOT(ISNUMBER(D26)),LEFT(E26,8)&lt;&gt;"https://"),"ERRO: Verificado exige versão, data e fonte HTTPS","Verificado pelo responsável (não certifica conformidade)"),"Não verificado: verificar na fonte oficial"))</f>
        <v/>
      </c>
    </row>
    <row r="27">
      <c r="A27" s="16" t="n"/>
      <c r="B27" s="17" t="n"/>
      <c r="C27" s="16" t="n"/>
      <c r="D27" s="19" t="n"/>
      <c r="E27" s="17" t="n"/>
      <c r="F27" s="18" t="n"/>
      <c r="G27" s="31">
        <f>IF(A27&amp;B27="","",IF(F27="Verificado",IF(OR(C27="",NOT(ISNUMBER(D27)),LEFT(E27,8)&lt;&gt;"https://"),"ERRO: Verificado exige versão, data e fonte HTTPS","Verificado pelo responsável (não certifica conformidade)"),"Não verificado: verificar na fonte oficial"))</f>
        <v/>
      </c>
    </row>
    <row r="28">
      <c r="A28" s="16" t="n"/>
      <c r="B28" s="17" t="n"/>
      <c r="C28" s="16" t="n"/>
      <c r="D28" s="19" t="n"/>
      <c r="E28" s="17" t="n"/>
      <c r="F28" s="18" t="n"/>
      <c r="G28" s="31">
        <f>IF(A28&amp;B28="","",IF(F28="Verificado",IF(OR(C28="",NOT(ISNUMBER(D28)),LEFT(E28,8)&lt;&gt;"https://"),"ERRO: Verificado exige versão, data e fonte HTTPS","Verificado pelo responsável (não certifica conformidade)"),"Não verificado: verificar na fonte oficial"))</f>
        <v/>
      </c>
    </row>
    <row r="29">
      <c r="A29" s="16" t="n"/>
      <c r="B29" s="17" t="n"/>
      <c r="C29" s="16" t="n"/>
      <c r="D29" s="19" t="n"/>
      <c r="E29" s="17" t="n"/>
      <c r="F29" s="18" t="n"/>
      <c r="G29" s="31">
        <f>IF(A29&amp;B29="","",IF(F29="Verificado",IF(OR(C29="",NOT(ISNUMBER(D29)),LEFT(E29,8)&lt;&gt;"https://"),"ERRO: Verificado exige versão, data e fonte HTTPS","Verificado pelo responsável (não certifica conformidade)"),"Não verificado: verificar na fonte oficial"))</f>
        <v/>
      </c>
    </row>
    <row r="30">
      <c r="A30" s="16" t="n"/>
      <c r="B30" s="17" t="n"/>
      <c r="C30" s="16" t="n"/>
      <c r="D30" s="19" t="n"/>
      <c r="E30" s="17" t="n"/>
      <c r="F30" s="18" t="n"/>
      <c r="G30" s="31">
        <f>IF(A30&amp;B30="","",IF(F30="Verificado",IF(OR(C30="",NOT(ISNUMBER(D30)),LEFT(E30,8)&lt;&gt;"https://"),"ERRO: Verificado exige versão, data e fonte HTTPS","Verificado pelo responsável (não certifica conformidade)"),"Não verificado: verificar na fonte oficial"))</f>
        <v/>
      </c>
    </row>
    <row r="31">
      <c r="A31" s="16" t="n"/>
      <c r="B31" s="17" t="n"/>
      <c r="C31" s="16" t="n"/>
      <c r="D31" s="19" t="n"/>
      <c r="E31" s="17" t="n"/>
      <c r="F31" s="18" t="n"/>
      <c r="G31" s="31">
        <f>IF(A31&amp;B31="","",IF(F31="Verificado",IF(OR(C31="",NOT(ISNUMBER(D31)),LEFT(E31,8)&lt;&gt;"https://"),"ERRO: Verificado exige versão, data e fonte HTTPS","Verificado pelo responsável (não certifica conformidade)"),"Não verificado: verificar na fonte oficial"))</f>
        <v/>
      </c>
    </row>
    <row r="32">
      <c r="A32" s="16" t="n"/>
      <c r="B32" s="17" t="n"/>
      <c r="C32" s="16" t="n"/>
      <c r="D32" s="19" t="n"/>
      <c r="E32" s="17" t="n"/>
      <c r="F32" s="18" t="n"/>
      <c r="G32" s="31">
        <f>IF(A32&amp;B32="","",IF(F32="Verificado",IF(OR(C32="",NOT(ISNUMBER(D32)),LEFT(E32,8)&lt;&gt;"https://"),"ERRO: Verificado exige versão, data e fonte HTTPS","Verificado pelo responsável (não certifica conformidade)"),"Não verificado: verificar na fonte oficial"))</f>
        <v/>
      </c>
    </row>
    <row r="33">
      <c r="A33" s="16" t="n"/>
      <c r="B33" s="17" t="n"/>
      <c r="C33" s="16" t="n"/>
      <c r="D33" s="19" t="n"/>
      <c r="E33" s="17" t="n"/>
      <c r="F33" s="18" t="n"/>
      <c r="G33" s="31">
        <f>IF(A33&amp;B33="","",IF(F33="Verificado",IF(OR(C33="",NOT(ISNUMBER(D33)),LEFT(E33,8)&lt;&gt;"https://"),"ERRO: Verificado exige versão, data e fonte HTTPS","Verificado pelo responsável (não certifica conformidade)"),"Não verificado: verificar na fonte oficial"))</f>
        <v/>
      </c>
    </row>
    <row r="34">
      <c r="A34" s="16" t="n"/>
      <c r="B34" s="17" t="n"/>
      <c r="C34" s="16" t="n"/>
      <c r="D34" s="19" t="n"/>
      <c r="E34" s="17" t="n"/>
      <c r="F34" s="18" t="n"/>
      <c r="G34" s="31">
        <f>IF(A34&amp;B34="","",IF(F34="Verificado",IF(OR(C34="",NOT(ISNUMBER(D34)),LEFT(E34,8)&lt;&gt;"https://"),"ERRO: Verificado exige versão, data e fonte HTTPS","Verificado pelo responsável (não certifica conformidade)"),"Não verificado: verificar na fonte oficial"))</f>
        <v/>
      </c>
    </row>
    <row r="35">
      <c r="A35" s="16" t="n"/>
      <c r="B35" s="17" t="n"/>
      <c r="C35" s="16" t="n"/>
      <c r="D35" s="19" t="n"/>
      <c r="E35" s="17" t="n"/>
      <c r="F35" s="18" t="n"/>
      <c r="G35" s="31">
        <f>IF(A35&amp;B35="","",IF(F35="Verificado",IF(OR(C35="",NOT(ISNUMBER(D35)),LEFT(E35,8)&lt;&gt;"https://"),"ERRO: Verificado exige versão, data e fonte HTTPS","Verificado pelo responsável (não certifica conformidade)"),"Não verificado: verificar na fonte oficial"))</f>
        <v/>
      </c>
    </row>
    <row r="36">
      <c r="A36" s="16" t="n"/>
      <c r="B36" s="17" t="n"/>
      <c r="C36" s="16" t="n"/>
      <c r="D36" s="19" t="n"/>
      <c r="E36" s="17" t="n"/>
      <c r="F36" s="18" t="n"/>
      <c r="G36" s="31">
        <f>IF(A36&amp;B36="","",IF(F36="Verificado",IF(OR(C36="",NOT(ISNUMBER(D36)),LEFT(E36,8)&lt;&gt;"https://"),"ERRO: Verificado exige versão, data e fonte HTTPS","Verificado pelo responsável (não certifica conformidade)"),"Não verificado: verificar na fonte oficial"))</f>
        <v/>
      </c>
    </row>
    <row r="37">
      <c r="A37" s="16" t="n"/>
      <c r="B37" s="17" t="n"/>
      <c r="C37" s="16" t="n"/>
      <c r="D37" s="19" t="n"/>
      <c r="E37" s="17" t="n"/>
      <c r="F37" s="18" t="n"/>
      <c r="G37" s="31">
        <f>IF(A37&amp;B37="","",IF(F37="Verificado",IF(OR(C37="",NOT(ISNUMBER(D37)),LEFT(E37,8)&lt;&gt;"https://"),"ERRO: Verificado exige versão, data e fonte HTTPS","Verificado pelo responsável (não certifica conformidade)"),"Não verificado: verificar na fonte oficial"))</f>
        <v/>
      </c>
    </row>
    <row r="38">
      <c r="A38" s="16" t="n"/>
      <c r="B38" s="17" t="n"/>
      <c r="C38" s="16" t="n"/>
      <c r="D38" s="19" t="n"/>
      <c r="E38" s="17" t="n"/>
      <c r="F38" s="18" t="n"/>
      <c r="G38" s="31">
        <f>IF(A38&amp;B38="","",IF(F38="Verificado",IF(OR(C38="",NOT(ISNUMBER(D38)),LEFT(E38,8)&lt;&gt;"https://"),"ERRO: Verificado exige versão, data e fonte HTTPS","Verificado pelo responsável (não certifica conformidade)"),"Não verificado: verificar na fonte oficial"))</f>
        <v/>
      </c>
    </row>
    <row r="39">
      <c r="A39" s="16" t="n"/>
      <c r="B39" s="17" t="n"/>
      <c r="C39" s="16" t="n"/>
      <c r="D39" s="19" t="n"/>
      <c r="E39" s="17" t="n"/>
      <c r="F39" s="18" t="n"/>
      <c r="G39" s="31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16" t="n"/>
      <c r="B40" s="17" t="n"/>
      <c r="C40" s="16" t="n"/>
      <c r="D40" s="19" t="n"/>
      <c r="E40" s="17" t="n"/>
      <c r="F40" s="18" t="n"/>
      <c r="G40" s="31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16" t="n"/>
      <c r="B41" s="17" t="n"/>
      <c r="C41" s="16" t="n"/>
      <c r="D41" s="19" t="n"/>
      <c r="E41" s="17" t="n"/>
      <c r="F41" s="18" t="n"/>
      <c r="G41" s="31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16" t="n"/>
      <c r="B42" s="17" t="n"/>
      <c r="C42" s="16" t="n"/>
      <c r="D42" s="19" t="n"/>
      <c r="E42" s="17" t="n"/>
      <c r="F42" s="18" t="n"/>
      <c r="G42" s="31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16" t="n"/>
      <c r="B43" s="17" t="n"/>
      <c r="C43" s="16" t="n"/>
      <c r="D43" s="19" t="n"/>
      <c r="E43" s="17" t="n"/>
      <c r="F43" s="18" t="n"/>
      <c r="G43" s="31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16" t="n"/>
      <c r="B44" s="17" t="n"/>
      <c r="C44" s="16" t="n"/>
      <c r="D44" s="19" t="n"/>
      <c r="E44" s="17" t="n"/>
      <c r="F44" s="18" t="n"/>
      <c r="G44" s="31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16" t="n"/>
      <c r="B45" s="17" t="n"/>
      <c r="C45" s="16" t="n"/>
      <c r="D45" s="19" t="n"/>
      <c r="E45" s="17" t="n"/>
      <c r="F45" s="18" t="n"/>
      <c r="G45" s="31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16" t="n"/>
      <c r="B46" s="17" t="n"/>
      <c r="C46" s="16" t="n"/>
      <c r="D46" s="19" t="n"/>
      <c r="E46" s="17" t="n"/>
      <c r="F46" s="18" t="n"/>
      <c r="G46" s="31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16" t="n"/>
      <c r="B47" s="17" t="n"/>
      <c r="C47" s="16" t="n"/>
      <c r="D47" s="19" t="n"/>
      <c r="E47" s="17" t="n"/>
      <c r="F47" s="18" t="n"/>
      <c r="G47" s="31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16" t="n"/>
      <c r="B48" s="17" t="n"/>
      <c r="C48" s="16" t="n"/>
      <c r="D48" s="19" t="n"/>
      <c r="E48" s="17" t="n"/>
      <c r="F48" s="18" t="n"/>
      <c r="G48" s="31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16" t="n"/>
      <c r="B49" s="17" t="n"/>
      <c r="C49" s="16" t="n"/>
      <c r="D49" s="19" t="n"/>
      <c r="E49" s="17" t="n"/>
      <c r="F49" s="18" t="n"/>
      <c r="G49" s="31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16" t="n"/>
      <c r="B50" s="17" t="n"/>
      <c r="C50" s="16" t="n"/>
      <c r="D50" s="19" t="n"/>
      <c r="E50" s="17" t="n"/>
      <c r="F50" s="18" t="n"/>
      <c r="G50" s="31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16" t="n"/>
      <c r="B51" s="17" t="n"/>
      <c r="C51" s="16" t="n"/>
      <c r="D51" s="19" t="n"/>
      <c r="E51" s="17" t="n"/>
      <c r="F51" s="18" t="n"/>
      <c r="G51" s="31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16" t="n"/>
      <c r="B52" s="17" t="n"/>
      <c r="C52" s="16" t="n"/>
      <c r="D52" s="19" t="n"/>
      <c r="E52" s="17" t="n"/>
      <c r="F52" s="18" t="n"/>
      <c r="G52" s="31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16" t="n"/>
      <c r="B53" s="17" t="n"/>
      <c r="C53" s="16" t="n"/>
      <c r="D53" s="19" t="n"/>
      <c r="E53" s="17" t="n"/>
      <c r="F53" s="18" t="n"/>
      <c r="G53" s="31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16" t="n"/>
      <c r="B54" s="17" t="n"/>
      <c r="C54" s="16" t="n"/>
      <c r="D54" s="19" t="n"/>
      <c r="E54" s="17" t="n"/>
      <c r="F54" s="18" t="n"/>
      <c r="G54" s="31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16" t="n"/>
      <c r="B55" s="17" t="n"/>
      <c r="C55" s="16" t="n"/>
      <c r="D55" s="19" t="n"/>
      <c r="E55" s="17" t="n"/>
      <c r="F55" s="18" t="n"/>
      <c r="G55" s="31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16" t="n"/>
      <c r="B56" s="17" t="n"/>
      <c r="C56" s="16" t="n"/>
      <c r="D56" s="19" t="n"/>
      <c r="E56" s="17" t="n"/>
      <c r="F56" s="18" t="n"/>
      <c r="G56" s="31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16" t="n"/>
      <c r="B57" s="17" t="n"/>
      <c r="C57" s="16" t="n"/>
      <c r="D57" s="19" t="n"/>
      <c r="E57" s="17" t="n"/>
      <c r="F57" s="18" t="n"/>
      <c r="G57" s="31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16" t="n"/>
      <c r="B58" s="17" t="n"/>
      <c r="C58" s="16" t="n"/>
      <c r="D58" s="19" t="n"/>
      <c r="E58" s="17" t="n"/>
      <c r="F58" s="18" t="n"/>
      <c r="G58" s="31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16" t="n"/>
      <c r="B59" s="17" t="n"/>
      <c r="C59" s="16" t="n"/>
      <c r="D59" s="19" t="n"/>
      <c r="E59" s="17" t="n"/>
      <c r="F59" s="18" t="n"/>
      <c r="G59" s="31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16" t="n"/>
      <c r="B60" s="17" t="n"/>
      <c r="C60" s="16" t="n"/>
      <c r="D60" s="19" t="n"/>
      <c r="E60" s="17" t="n"/>
      <c r="F60" s="18" t="n"/>
      <c r="G60" s="31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16" t="n"/>
      <c r="B61" s="17" t="n"/>
      <c r="C61" s="16" t="n"/>
      <c r="D61" s="19" t="n"/>
      <c r="E61" s="17" t="n"/>
      <c r="F61" s="18" t="n"/>
      <c r="G61" s="31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16" t="n"/>
      <c r="B62" s="17" t="n"/>
      <c r="C62" s="16" t="n"/>
      <c r="D62" s="19" t="n"/>
      <c r="E62" s="17" t="n"/>
      <c r="F62" s="18" t="n"/>
      <c r="G62" s="31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16" t="n"/>
      <c r="B63" s="17" t="n"/>
      <c r="C63" s="16" t="n"/>
      <c r="D63" s="19" t="n"/>
      <c r="E63" s="17" t="n"/>
      <c r="F63" s="18" t="n"/>
      <c r="G63" s="31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16" t="n"/>
      <c r="B64" s="17" t="n"/>
      <c r="C64" s="16" t="n"/>
      <c r="D64" s="19" t="n"/>
      <c r="E64" s="17" t="n"/>
      <c r="F64" s="18" t="n"/>
      <c r="G64" s="31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16" t="n"/>
      <c r="B65" s="17" t="n"/>
      <c r="C65" s="16" t="n"/>
      <c r="D65" s="19" t="n"/>
      <c r="E65" s="17" t="n"/>
      <c r="F65" s="18" t="n"/>
      <c r="G65" s="31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16" t="n"/>
      <c r="B66" s="17" t="n"/>
      <c r="C66" s="16" t="n"/>
      <c r="D66" s="19" t="n"/>
      <c r="E66" s="17" t="n"/>
      <c r="F66" s="18" t="n"/>
      <c r="G66" s="31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</sheetData>
  <autoFilter ref="A6:G66"/>
  <mergeCells count="5">
    <mergeCell ref="F5:G5"/>
    <mergeCell ref="A5:E5"/>
    <mergeCell ref="C1:F2"/>
    <mergeCell ref="A1:B2"/>
    <mergeCell ref="C3:G3"/>
  </mergeCells>
  <conditionalFormatting sqref="G7:G66">
    <cfRule type="expression" priority="1" dxfId="0" stopIfTrue="1">
      <formula>OR(LEFT(G7,4)="ERRO",LEFT(G7,7)="ATENÇÃO")</formula>
    </cfRule>
    <cfRule type="expression" priority="2" dxfId="1" stopIfTrue="1">
      <formula>OR(LEFT(G7,8)="Pendente",LEFT(G7,9)="Verificar",LEFT(G7,9)="Duplicada",LEFT(G7,7)="Tarefa ",LEFT(G7,13)="Fora do plano",LEFT(G7,8)="Previsão",LEFT(G7,11)="Sem vínculo",LEFT(G7,14)="Não verificado",LEFT(G7,7)="Informe")</formula>
    </cfRule>
  </conditionalFormatting>
  <conditionalFormatting sqref="A7:G66">
    <cfRule type="expression" priority="3" dxfId="2">
      <formula>AND($A7&lt;&gt;"",MOD(ROW(),2)=0)</formula>
    </cfRule>
  </conditionalFormatting>
  <dataValidations count="4">
    <dataValidation sqref="A7:A66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AND(LEN(A7)&lt;=120,ISERROR(FIND("|",A7)),ISERROR(FIND(" ",A7)))</formula1>
    </dataValidation>
    <dataValidation sqref="D7:D6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E7:E66" showDropDown="0" showInputMessage="1" showErrorMessage="1" allowBlank="1" errorTitle="Valor não aceito" error="Use um link que comece com https://" promptTitle="Fonte oficial (HTTPS)" prompt="Link HTTPS da fonte oficial (texto, sem hiperlink automático)." type="custom">
      <formula1>OR(E7="",LEFT(E7,8)="https://")</formula1>
    </dataValidation>
    <dataValidation sqref="F7:F66" showDropDown="0" showInputMessage="1" showErrorMessage="1" allowBlank="1" errorTitle="Valor não aceito" error="Use Não verificado ou Verificado." promptTitle="Status" prompt="Verificado exige versão, data e fonte HTTPS; não certifica conformidade." type="list">
      <formula1>=lst_status_requisito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Controle documental</t>
          </r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definir",cfg_elaborado)&amp;"   ·   Aprovado: "&amp;IF(cfg_aprovado="","A definir",cfg_aprovado)</f>
        <v/>
      </c>
      <c r="F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CONFIGURAÇÕES</t>
        </is>
      </c>
      <c r="B5" s="12" t="n"/>
      <c r="C5" s="12" t="n"/>
      <c r="D5" s="12" t="n"/>
      <c r="E5" s="12" t="n"/>
      <c r="F5" s="13" t="n"/>
    </row>
    <row r="7" ht="21.75" customHeight="1">
      <c r="A7" s="32" t="inlineStr">
        <is>
          <t>COMO USAR</t>
        </is>
      </c>
      <c r="B7" s="33" t="n"/>
      <c r="C7" s="33" t="n"/>
      <c r="D7" s="33" t="n"/>
      <c r="E7" s="33" t="n"/>
      <c r="F7" s="34" t="n"/>
    </row>
    <row r="8" ht="19" customHeight="1">
      <c r="A8" s="35" t="inlineStr">
        <is>
          <t>1)  Preencha a aba Organização e cadastre as Pessoas.</t>
        </is>
      </c>
      <c r="B8" s="36" t="n"/>
      <c r="C8" s="36" t="n"/>
      <c r="D8" s="36" t="n"/>
      <c r="E8" s="36" t="n"/>
      <c r="F8" s="37" t="n"/>
    </row>
    <row r="9" ht="19" customHeight="1">
      <c r="A9" s="35" t="inlineStr">
        <is>
          <t>2)  Registre as referências em Requisitos (começam Não verificado).</t>
        </is>
      </c>
      <c r="B9" s="36" t="n"/>
      <c r="C9" s="36" t="n"/>
      <c r="D9" s="36" t="n"/>
      <c r="E9" s="36" t="n"/>
      <c r="F9" s="37" t="n"/>
    </row>
    <row r="10" ht="19" customHeight="1">
      <c r="A10" s="35" t="inlineStr">
        <is>
          <t>3)  Mantenha a Lista Mestra e as Revisões a cada mudança. A revisão do PCMD-01 na Lista Mestra aparece no cabeçalho.</t>
        </is>
      </c>
      <c r="B10" s="36" t="n"/>
      <c r="C10" s="36" t="n"/>
      <c r="D10" s="36" t="n"/>
      <c r="E10" s="36" t="n"/>
      <c r="F10" s="37" t="n"/>
    </row>
    <row r="11" ht="19" customHeight="1">
      <c r="A11" s="35" t="inlineStr">
        <is>
          <t>Campos em azul: preencher. Texto cinza: automático (fórmula). ERRO em vermelho e Pendente em amarelo pedem ação.</t>
        </is>
      </c>
      <c r="B11" s="36" t="n"/>
      <c r="C11" s="36" t="n"/>
      <c r="D11" s="36" t="n"/>
      <c r="E11" s="36" t="n"/>
      <c r="F11" s="37" t="n"/>
    </row>
    <row r="12" ht="19" customHeight="1">
      <c r="A12" s="38" t="inlineStr">
        <is>
          <t>Lista Mestra</t>
        </is>
      </c>
      <c r="B12" s="35" t="inlineStr">
        <is>
          <t>Um documento por linha: revisão, datas, elaborador, aprovador e situação.</t>
        </is>
      </c>
      <c r="C12" s="36" t="n"/>
      <c r="D12" s="36" t="n"/>
      <c r="E12" s="36" t="n"/>
      <c r="F12" s="37" t="n"/>
    </row>
    <row r="13" ht="19" customHeight="1">
      <c r="A13" s="38" t="inlineStr">
        <is>
          <t>Revisões</t>
        </is>
      </c>
      <c r="B13" s="35" t="inlineStr">
        <is>
          <t>Uma linha por revisão de cada documento.</t>
        </is>
      </c>
      <c r="C13" s="36" t="n"/>
      <c r="D13" s="36" t="n"/>
      <c r="E13" s="36" t="n"/>
      <c r="F13" s="37" t="n"/>
    </row>
    <row r="14" ht="19" customHeight="1">
      <c r="A14" s="38" t="inlineStr">
        <is>
          <t>Organização</t>
        </is>
      </c>
      <c r="B14" s="35" t="inlineStr">
        <is>
          <t>Nome, referencial, prefixo, elaborador/aprovador padrão e meta de disponibilidade.</t>
        </is>
      </c>
      <c r="C14" s="36" t="n"/>
      <c r="D14" s="36" t="n"/>
      <c r="E14" s="36" t="n"/>
      <c r="F14" s="37" t="n"/>
    </row>
    <row r="15" ht="19" customHeight="1">
      <c r="A15" s="38" t="inlineStr">
        <is>
          <t>Pessoas</t>
        </is>
      </c>
      <c r="B15" s="35" t="inlineStr">
        <is>
          <t>Pessoas e funções (dado pessoal mínimo, local).</t>
        </is>
      </c>
      <c r="C15" s="36" t="n"/>
      <c r="D15" s="36" t="n"/>
      <c r="E15" s="36" t="n"/>
      <c r="F15" s="37" t="n"/>
    </row>
    <row r="16" ht="19" customHeight="1">
      <c r="A16" s="38" t="inlineStr">
        <is>
          <t>Requisitos</t>
        </is>
      </c>
      <c r="B16" s="35" t="inlineStr">
        <is>
          <t>Tudo começa Não verificado; Verificado exige versão, data e fonte HTTPS.</t>
        </is>
      </c>
      <c r="C16" s="36" t="n"/>
      <c r="D16" s="36" t="n"/>
      <c r="E16" s="36" t="n"/>
      <c r="F16" s="37" t="n"/>
    </row>
    <row r="17" ht="19" customHeight="1">
      <c r="A17" s="38" t="inlineStr">
        <is>
          <t>Listas</t>
        </is>
      </c>
      <c r="B17" s="35" t="inlineStr">
        <is>
          <t>Valores aceitos nas listas suspensas.</t>
        </is>
      </c>
      <c r="C17" s="36" t="n"/>
      <c r="D17" s="36" t="n"/>
      <c r="E17" s="36" t="n"/>
      <c r="F17" s="37" t="n"/>
    </row>
    <row r="19" ht="21.75" customHeight="1">
      <c r="A19" s="32" t="inlineStr">
        <is>
          <t>PARÂMETROS DO DOCUMENTO</t>
        </is>
      </c>
      <c r="B19" s="33" t="n"/>
      <c r="C19" s="33" t="n"/>
      <c r="D19" s="34" t="n"/>
    </row>
    <row r="20" ht="24" customHeight="1">
      <c r="A20" s="14" t="inlineStr">
        <is>
          <t>Parâmetro</t>
        </is>
      </c>
      <c r="B20" s="39" t="n"/>
      <c r="C20" s="14" t="inlineStr">
        <is>
          <t>Valor</t>
        </is>
      </c>
      <c r="D20" s="39" t="n"/>
    </row>
    <row r="21" ht="19.5" customHeight="1">
      <c r="A21" s="25" t="inlineStr">
        <is>
          <t>Elaborado por</t>
        </is>
      </c>
      <c r="B21" s="40" t="n"/>
      <c r="C21" s="41" t="n"/>
      <c r="D21" s="40" t="n"/>
    </row>
    <row r="22" ht="19.5" customHeight="1">
      <c r="A22" s="25" t="inlineStr">
        <is>
          <t>Aprovado por</t>
        </is>
      </c>
      <c r="B22" s="40" t="n"/>
      <c r="C22" s="41" t="n"/>
      <c r="D22" s="40" t="n"/>
      <c r="E22" s="42" t="inlineStr">
        <is>
          <t>Só após aprovação efetiva.</t>
        </is>
      </c>
    </row>
    <row r="23" ht="28" customHeight="1">
      <c r="A23" s="25" t="inlineStr">
        <is>
          <t>Revisão atual (automático: Lista Mestra, linha PCMD-01)</t>
        </is>
      </c>
      <c r="B23" s="40" t="n"/>
      <c r="C23" s="43">
        <f>IFERROR(INDEX('Lista Mestra'!$D$7:$D$56,MATCH("PCMD-01",'Lista Mestra'!$A$7:$A$56,0))&amp;"","")</f>
        <v/>
      </c>
      <c r="D23" s="40" t="n"/>
    </row>
    <row r="24" ht="19.5" customHeight="1">
      <c r="A24" s="25" t="inlineStr">
        <is>
          <t>Data da revisão (automático)</t>
        </is>
      </c>
      <c r="B24" s="40" t="n"/>
      <c r="C24" s="44">
        <f>IFERROR(IF(INDEX('Lista Mestra'!$E$7:$E$56,MATCH("PCMD-01",'Lista Mestra'!$A$7:$A$56,0))="","",INDEX('Lista Mestra'!$E$7:$E$56,MATCH("PCMD-01",'Lista Mestra'!$A$7:$A$56,0))),"")</f>
        <v/>
      </c>
      <c r="D24" s="40" t="n"/>
    </row>
    <row r="25" ht="19.5" customHeight="1">
      <c r="A25" s="25" t="inlineStr">
        <is>
          <t>Origem dos dados</t>
        </is>
      </c>
      <c r="B25" s="40" t="n"/>
      <c r="C25" s="41" t="n"/>
      <c r="D25" s="40" t="n"/>
    </row>
    <row r="26" ht="19.5" customHeight="1">
      <c r="A26" s="25" t="inlineStr">
        <is>
          <t>Data de emissão</t>
        </is>
      </c>
      <c r="B26" s="40" t="n"/>
      <c r="C26" s="45" t="n"/>
      <c r="D26" s="40" t="n"/>
    </row>
    <row r="28" ht="21.75" customHeight="1">
      <c r="A28" s="32" t="inlineStr">
        <is>
          <t>CONFERÊNCIAS</t>
        </is>
      </c>
      <c r="B28" s="33" t="n"/>
      <c r="C28" s="33" t="n"/>
      <c r="D28" s="33" t="n"/>
      <c r="E28" s="33" t="n"/>
      <c r="F28" s="34" t="n"/>
    </row>
    <row r="29" ht="24" customHeight="1">
      <c r="A29" s="15" t="inlineStr">
        <is>
          <t>Aba</t>
        </is>
      </c>
      <c r="B29" s="15" t="inlineStr">
        <is>
          <t>Linhas preenchidas</t>
        </is>
      </c>
      <c r="C29" s="15" t="inlineStr">
        <is>
          <t>Linhas com ERRO</t>
        </is>
      </c>
      <c r="D29" s="15" t="inlineStr">
        <is>
          <t>Capacidade</t>
        </is>
      </c>
      <c r="E29" s="39" t="n"/>
      <c r="F29" s="39" t="n"/>
    </row>
    <row r="30" ht="19.5" customHeight="1">
      <c r="A30" s="46" t="inlineStr">
        <is>
          <t>Lista Mestra</t>
        </is>
      </c>
      <c r="B30" s="47">
        <f>COUNTA('Lista Mestra'!$A$7:$A$56)</f>
        <v/>
      </c>
      <c r="C30" s="47">
        <f>COUNTIF('Lista Mestra'!$J$7:$J$56,"ERRO*")</f>
        <v/>
      </c>
      <c r="D30" s="31">
        <f>IF(COUNTA('Lista Mestra'!$A$57:$A$2056)&gt;0,"ATENÇÃO: há dados além da linha 56; estenda fórmulas e nomes","OK")</f>
        <v/>
      </c>
      <c r="E30" s="40" t="n"/>
      <c r="F30" s="40" t="n"/>
    </row>
    <row r="31" ht="19.5" customHeight="1">
      <c r="A31" s="46" t="inlineStr">
        <is>
          <t>Pessoas</t>
        </is>
      </c>
      <c r="B31" s="47">
        <f>COUNTA('Pessoas'!$A$7:$A$66)</f>
        <v/>
      </c>
      <c r="C31" s="47">
        <f>COUNTIF('Pessoas'!$F$7:$F$66,"ERRO*")</f>
        <v/>
      </c>
      <c r="D31" s="31">
        <f>IF(COUNTA('Pessoas'!$A$67:$A$2066)&gt;0,"ATENÇÃO: há dados além da linha 66; estenda fórmulas e nomes","OK")</f>
        <v/>
      </c>
      <c r="E31" s="40" t="n"/>
      <c r="F31" s="40" t="n"/>
    </row>
    <row r="32" ht="19.5" customHeight="1">
      <c r="A32" s="46" t="inlineStr">
        <is>
          <t>Requisitos</t>
        </is>
      </c>
      <c r="B32" s="47">
        <f>COUNTA('Requisitos'!$A$7:$A$66)</f>
        <v/>
      </c>
      <c r="C32" s="47">
        <f>COUNTIF('Requisitos'!$G$7:$G$66,"ERRO*")</f>
        <v/>
      </c>
      <c r="D32" s="31">
        <f>IF(COUNTA('Requisitos'!$A$67:$A$2066)&gt;0,"ATENÇÃO: há dados além da linha 66; estenda fórmulas e nomes","OK")</f>
        <v/>
      </c>
      <c r="E32" s="40" t="n"/>
      <c r="F32" s="40" t="n"/>
    </row>
    <row r="34" ht="24" customHeight="1">
      <c r="A34" s="48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8">
    <mergeCell ref="A24:B24"/>
    <mergeCell ref="C24:D24"/>
    <mergeCell ref="B16:F16"/>
    <mergeCell ref="D32:F32"/>
    <mergeCell ref="A19:D19"/>
    <mergeCell ref="C26:D26"/>
    <mergeCell ref="C20:D20"/>
    <mergeCell ref="B12:F12"/>
    <mergeCell ref="C3:F3"/>
    <mergeCell ref="A25:B25"/>
    <mergeCell ref="C25:D25"/>
    <mergeCell ref="E1:F1"/>
    <mergeCell ref="A5:F5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0" stopIfTrue="1">
      <formula>OR(LEFT(D30,4)="ERRO",LEFT(D30,7)="ATENÇÃO")</formula>
    </cfRule>
    <cfRule type="expression" priority="2" dxfId="1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0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Lista Mestra'!A1" display="Lista Mestra"/>
    <hyperlink ref="A13" location="'Revisões'!A1" display="Revisões"/>
    <hyperlink ref="A14" location="'Organização'!A1" display="Organização"/>
    <hyperlink ref="A15" location="'Pessoas'!A1" display="Pessoas"/>
    <hyperlink ref="A16" location="'Requisitos'!A1" display="Requisito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  <col width="23" customWidth="1" min="9" max="9"/>
  </cols>
  <sheetData>
    <row r="1" ht="33" customHeight="1">
      <c r="A1" s="1" t="n"/>
      <c r="B1" s="4" t="n"/>
      <c r="C1" s="2" t="n"/>
      <c r="D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Listas</t>
          </r>
        </is>
      </c>
      <c r="E1" s="4" t="n"/>
      <c r="F1" s="4" t="n"/>
      <c r="G1" s="4" t="n"/>
      <c r="H1" s="2" t="n"/>
      <c r="I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8" t="n"/>
      <c r="C2" s="7" t="n"/>
      <c r="D2" s="6" t="n"/>
      <c r="E2" s="8" t="n"/>
      <c r="F2" s="8" t="n"/>
      <c r="G2" s="8" t="n"/>
      <c r="H2" s="7" t="n"/>
      <c r="I2" s="22">
        <f>"Elaborado: "&amp;IF(cfg_elaborado="","A definir",cfg_elaborado)&amp;"   ·   Aprovado: "&amp;IF(cfg_aprovado="","A definir",cfg_aprovado)</f>
        <v/>
      </c>
    </row>
    <row r="3" ht="37.625" customHeight="1">
      <c r="D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VALORES DAS LISTAS SUSPENSAS</t>
        </is>
      </c>
      <c r="B5" s="12" t="n"/>
      <c r="C5" s="12" t="n"/>
      <c r="D5" s="12" t="n"/>
      <c r="E5" s="12" t="n"/>
      <c r="F5" s="12" t="n"/>
      <c r="G5" s="12" t="n"/>
      <c r="H5" s="12" t="n"/>
      <c r="I5" s="13" t="n"/>
    </row>
    <row r="6" ht="24" customHeight="1">
      <c r="A6" s="14" t="inlineStr">
        <is>
          <t>Tipo de documento</t>
        </is>
      </c>
      <c r="C6" s="14" t="inlineStr">
        <is>
          <t>Situação do documento</t>
        </is>
      </c>
      <c r="E6" s="14" t="inlineStr">
        <is>
          <t>Sim/Não</t>
        </is>
      </c>
      <c r="G6" s="14" t="inlineStr">
        <is>
          <t>Status de requisito</t>
        </is>
      </c>
    </row>
    <row r="7">
      <c r="A7" s="49" t="inlineStr">
        <is>
          <t>Planilha (XLSX)</t>
        </is>
      </c>
      <c r="C7" s="49" t="inlineStr">
        <is>
          <t>Em elaboração</t>
        </is>
      </c>
      <c r="E7" s="49" t="inlineStr">
        <is>
          <t>Sim</t>
        </is>
      </c>
      <c r="G7" s="49" t="inlineStr">
        <is>
          <t>Não verificado</t>
        </is>
      </c>
    </row>
    <row r="8">
      <c r="A8" s="49" t="inlineStr">
        <is>
          <t>Manual (DOCX)</t>
        </is>
      </c>
      <c r="C8" s="49" t="inlineStr">
        <is>
          <t>Em revisão</t>
        </is>
      </c>
      <c r="E8" s="49" t="inlineStr">
        <is>
          <t>Não</t>
        </is>
      </c>
      <c r="G8" s="49" t="inlineStr">
        <is>
          <t>Verificado</t>
        </is>
      </c>
    </row>
    <row r="9">
      <c r="A9" s="49" t="inlineStr">
        <is>
          <t>Outro</t>
        </is>
      </c>
      <c r="C9" s="49" t="inlineStr">
        <is>
          <t>Aprovado</t>
        </is>
      </c>
    </row>
    <row r="10">
      <c r="C10" s="49" t="inlineStr">
        <is>
          <t>Obsoleto</t>
        </is>
      </c>
    </row>
  </sheetData>
  <mergeCells count="4">
    <mergeCell ref="D1:H2"/>
    <mergeCell ref="A5:I5"/>
    <mergeCell ref="A1:C2"/>
    <mergeCell ref="D3:I3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2026-10-24T06:25:08Z</dcterms:modified>
  <cp:keywords>PCM Direto; modelo 1.0.0; licença MIT</cp:keywords>
</cp:coreProperties>
</file>