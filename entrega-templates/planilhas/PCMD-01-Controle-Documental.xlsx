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Lista Mestra" sheetId="2" state="visible" r:id="rId2"/>
    <sheet xmlns:r="http://schemas.openxmlformats.org/officeDocument/2006/relationships" name="Revisões" sheetId="3" state="visible" r:id="rId3"/>
    <sheet xmlns:r="http://schemas.openxmlformats.org/officeDocument/2006/relationships" name="Organização" sheetId="4" state="visible" r:id="rId4"/>
    <sheet xmlns:r="http://schemas.openxmlformats.org/officeDocument/2006/relationships" name="Pessoas" sheetId="5" state="visible" r:id="rId5"/>
    <sheet xmlns:r="http://schemas.openxmlformats.org/officeDocument/2006/relationships" name="Requisitos" sheetId="6" state="visible" r:id="rId6"/>
    <sheet xmlns:r="http://schemas.openxmlformats.org/officeDocument/2006/relationships" name="Listas" sheetId="7" state="visible" r:id="rId7"/>
  </sheets>
  <definedNames>
    <definedName name="pcmd_origem">'Início'!$C$27</definedName>
    <definedName name="pcmd_emissao">'Início'!$C$28</definedName>
    <definedName name="cad_org_nome">'Organização'!$B$7</definedName>
    <definedName name="cad_referencial">'Organização'!$B$8</definedName>
    <definedName name="cad_prefixo">'Organização'!$B$9</definedName>
    <definedName name="cad_meta_disponibilidade">'Organização'!$B$12</definedName>
    <definedName name="cad_pessoa_id">'Pessoas'!$A$7:$A$66</definedName>
    <definedName name="cad_pessoa_nome">'Pessoas'!$B$7:$B$66</definedName>
    <definedName name="lst_tipo_documento">'Listas'!$A$7:$A$16</definedName>
    <definedName name="lst_situacao_documento">'Listas'!$C$7:$C$16</definedName>
    <definedName name="lst_sim_nao">'Listas'!$E$7:$E$8</definedName>
    <definedName name="lst_status_requisito">'Listas'!$G$7:$G$8</definedName>
    <definedName name="_xlnm.Print_Area" localSheetId="0">'Início'!$A$1:$D$30</definedName>
    <definedName name="_xlnm._FilterDatabase" localSheetId="1" hidden="1">'Lista Mestra'!$A$6:$K$56</definedName>
    <definedName name="_xlnm.Print_Titles" localSheetId="1">'Lista Mestra'!$6:$6</definedName>
    <definedName name="_xlnm.Print_Area" localSheetId="1">'Lista Mestra'!$A$1:$K$13</definedName>
    <definedName name="_xlnm._FilterDatabase" localSheetId="2" hidden="1">'Revisões'!$A$6:$E$106</definedName>
    <definedName name="_xlnm.Print_Titles" localSheetId="2">'Revisões'!$6:$6</definedName>
    <definedName name="_xlnm.Print_Area" localSheetId="2">'Revisões'!$A$1:$E$26</definedName>
    <definedName name="_xlnm.Print_Area" localSheetId="3">'Organização'!$A$1:$D$12</definedName>
    <definedName name="_xlnm._FilterDatabase" localSheetId="4" hidden="1">'Pessoas'!$A$6:$F$66</definedName>
    <definedName name="_xlnm.Print_Titles" localSheetId="4">'Pessoas'!$6:$6</definedName>
    <definedName name="_xlnm.Print_Area" localSheetId="4">'Pessoas'!$A$1:$F$21</definedName>
    <definedName name="_xlnm._FilterDatabase" localSheetId="5" hidden="1">'Requisitos'!$A$6:$G$66</definedName>
    <definedName name="_xlnm.Print_Titles" localSheetId="5">'Requisitos'!$6:$6</definedName>
    <definedName name="_xlnm.Print_Area" localSheetId="5">'Requisitos'!$A$1:$G$18</definedName>
    <definedName name="_xlnm.Print_Titles" localSheetId="6">'Listas'!$6:$6</definedName>
    <definedName name="_xlnm.Print_Area" localSheetId="6">'Listas'!$A$1:$G$16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5B6875"/>
      <sz val="10"/>
    </font>
    <font>
      <name val="Arial"/>
      <b val="1"/>
      <color rgb="000B3D63"/>
      <sz val="11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b val="1"/>
      <color rgb="00FFFFFF"/>
      <sz val="10"/>
    </font>
    <font>
      <name val="Arial"/>
      <color rgb="001F2A37"/>
      <sz val="10"/>
    </font>
    <font>
      <name val="Arial"/>
      <b val="1"/>
      <color rgb="00FFFFFF"/>
      <sz val="8.5"/>
    </font>
    <font>
      <name val="Arial"/>
      <b val="1"/>
      <color rgb="007A0019"/>
      <sz val="8.5"/>
    </font>
    <font>
      <name val="Arial"/>
      <b val="1"/>
      <color rgb="005C4600"/>
      <sz val="8.5"/>
    </font>
    <font>
      <name val="Arial"/>
      <b val="1"/>
      <color rgb="001E7B34"/>
      <sz val="8.5"/>
    </font>
    <font>
      <name val="Arial"/>
      <b val="1"/>
      <color rgb="001F2A37"/>
      <sz val="9.5"/>
    </font>
    <font>
      <name val="Arial"/>
      <color rgb="008C96A0"/>
      <sz val="8"/>
    </font>
    <font>
      <name val="Arial"/>
      <b val="1"/>
      <color rgb="00FFFFFF"/>
      <sz val="15"/>
    </font>
    <font>
      <name val="Arial"/>
      <color rgb="005B6875"/>
      <sz val="9.5"/>
    </font>
    <font>
      <name val="Arial"/>
      <color rgb="005B6875"/>
      <sz val="8.5"/>
    </font>
    <font>
      <name val="Arial"/>
      <b val="1"/>
      <color rgb="005B6875"/>
      <sz val="8.5"/>
    </font>
    <font>
      <name val="Arial"/>
      <b val="1"/>
      <color rgb="000B3D63"/>
      <sz val="7"/>
    </font>
    <font>
      <name val="Arial"/>
      <b val="1"/>
      <color rgb="00FFFFFF"/>
      <sz val="9"/>
    </font>
    <font>
      <name val="Arial"/>
      <b val="1"/>
      <color rgb="004F6273"/>
      <sz val="7"/>
    </font>
    <font>
      <name val="Arial"/>
      <b val="1"/>
      <color rgb="00B85C00"/>
      <sz val="7"/>
    </font>
  </fonts>
  <fills count="9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B85C00"/>
      </patternFill>
    </fill>
    <fill>
      <patternFill patternType="solid">
        <fgColor rgb="00FFF4C2"/>
      </patternFill>
    </fill>
    <fill>
      <patternFill patternType="solid">
        <fgColor rgb="004F6273"/>
      </patternFill>
    </fill>
    <fill>
      <patternFill patternType="solid">
        <fgColor rgb="00FBE7EA"/>
      </patternFill>
    </fill>
    <fill>
      <patternFill patternType="solid">
        <fgColor rgb="00FFFFFF"/>
      </patternFill>
    </fill>
    <fill>
      <patternFill patternType="solid">
        <fgColor rgb="00EBEFF3"/>
      </patternFill>
    </fill>
  </fills>
  <borders count="5">
    <border>
      <left/>
      <right/>
      <top/>
      <bottom/>
      <diagonal/>
    </border>
    <border>
      <bottom style="medium">
        <color rgb="00B85C00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  <bottom style="medium">
        <color rgb="00B85C0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indent="1"/>
    </xf>
    <xf numFmtId="0" fontId="0" fillId="4" borderId="0" applyAlignment="1" pivotButton="0" quotePrefix="0" xfId="0">
      <alignment vertical="center" wrapText="1" indent="1"/>
    </xf>
    <xf numFmtId="0" fontId="0" fillId="4" borderId="0" pivotButton="0" quotePrefix="0" xfId="0"/>
    <xf numFmtId="0" fontId="3" fillId="0" borderId="1" applyAlignment="1" pivotButton="0" quotePrefix="0" xfId="0">
      <alignment vertical="bottom"/>
    </xf>
    <xf numFmtId="0" fontId="0" fillId="0" borderId="1" pivotButton="0" quotePrefix="0" xfId="0"/>
    <xf numFmtId="0" fontId="4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0" fillId="0" borderId="2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 indent="1"/>
    </xf>
    <xf numFmtId="0" fontId="8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indent="1"/>
    </xf>
    <xf numFmtId="0" fontId="8" fillId="5" borderId="0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49" fontId="7" fillId="0" borderId="3" applyAlignment="1" applyProtection="1" pivotButton="0" quotePrefix="0" xfId="0">
      <alignment vertical="center" wrapText="1"/>
      <protection locked="0" hidden="0"/>
    </xf>
    <xf numFmtId="164" fontId="7" fillId="0" borderId="3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 indent="1"/>
    </xf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9" fillId="2" borderId="4" applyAlignment="1" pivotButton="0" quotePrefix="0" xfId="0">
      <alignment horizontal="center" vertical="center" wrapText="1"/>
    </xf>
    <xf numFmtId="0" fontId="19" fillId="5" borderId="4" applyAlignment="1" pivotButton="0" quotePrefix="0" xfId="0">
      <alignment horizontal="center" vertical="center" wrapText="1"/>
    </xf>
    <xf numFmtId="49" fontId="5" fillId="0" borderId="2" applyAlignment="1" applyProtection="1" pivotButton="0" quotePrefix="0" xfId="0">
      <alignment vertical="center"/>
      <protection locked="0" hidden="0"/>
    </xf>
    <xf numFmtId="49" fontId="5" fillId="0" borderId="2" applyAlignment="1" applyProtection="1" pivotButton="0" quotePrefix="0" xfId="0">
      <alignment vertical="center" wrapText="1"/>
      <protection locked="0" hidden="0"/>
    </xf>
    <xf numFmtId="164" fontId="5" fillId="0" borderId="2" applyAlignment="1" applyProtection="1" pivotButton="0" quotePrefix="0" xfId="0">
      <alignment vertical="center"/>
      <protection locked="0" hidden="0"/>
    </xf>
    <xf numFmtId="0" fontId="15" fillId="0" borderId="2" applyAlignment="1" pivotButton="0" quotePrefix="0" xfId="0">
      <alignment vertical="center" wrapText="1"/>
    </xf>
    <xf numFmtId="0" fontId="15" fillId="8" borderId="2" applyAlignment="1" pivotButton="0" quotePrefix="0" xfId="0">
      <alignment vertical="center" wrapText="1"/>
    </xf>
    <xf numFmtId="0" fontId="16" fillId="0" borderId="2" applyAlignment="1" pivotButton="0" quotePrefix="0" xfId="0">
      <alignment vertical="center" wrapText="1"/>
    </xf>
    <xf numFmtId="165" fontId="7" fillId="0" borderId="3" applyAlignment="1" applyProtection="1" pivotButton="0" quotePrefix="0" xfId="0">
      <alignment vertical="center" wrapText="1"/>
      <protection locked="0" hidden="0"/>
    </xf>
    <xf numFmtId="165" fontId="15" fillId="8" borderId="2" applyAlignment="1" pivotButton="0" quotePrefix="0" xfId="0">
      <alignment vertical="center" wrapText="1"/>
    </xf>
    <xf numFmtId="0" fontId="15" fillId="0" borderId="2" applyAlignment="1" pivotButton="0" quotePrefix="0" xfId="0">
      <alignment vertical="center"/>
    </xf>
    <xf numFmtId="0" fontId="21" fillId="0" borderId="0" applyAlignment="1" pivotButton="0" quotePrefix="0" xfId="0">
      <alignment horizontal="center" vertical="bottom"/>
    </xf>
    <xf numFmtId="0" fontId="19" fillId="3" borderId="4" applyAlignment="1" pivotButton="0" quotePrefix="0" xfId="0">
      <alignment horizontal="center" vertical="center" wrapText="1"/>
    </xf>
    <xf numFmtId="0" fontId="5" fillId="0" borderId="2" pivotButton="0" quotePrefix="0" xfId="0"/>
  </cellXfs>
  <cellStyles count="1">
    <cellStyle name="Normal" xfId="0" builtinId="0" hidden="0"/>
  </cellStyles>
  <dxfs count="6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1E7B34"/>
      </font>
    </dxf>
    <dxf>
      <fill>
        <patternFill patternType="solid">
          <fgColor rgb="00EBEFF3"/>
        </patternFill>
      </fill>
    </dxf>
    <dxf>
      <fill>
        <patternFill patternType="solid">
          <fgColor rgb="00F4F7FA"/>
        </patternFill>
      </fill>
    </dxf>
    <dxf>
      <font>
        <strike val="0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9530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66" customWidth="1" min="3" max="3"/>
    <col width="12" customWidth="1" min="4" max="4"/>
  </cols>
  <sheetData>
    <row r="1" ht="48" customHeight="1">
      <c r="A1" s="1" t="inlineStr"/>
      <c r="B1" s="2" t="inlineStr">
        <is>
          <t>Controle documental</t>
        </is>
      </c>
      <c r="D1" s="3" t="n"/>
    </row>
    <row r="2" ht="24" customHeight="1">
      <c r="A2" s="4" t="inlineStr">
        <is>
          <t>PCMD-01  ·  Lista mestra, histórico de revisões, organização, pessoas e requisitos.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</row>
    <row r="5" ht="22" customHeight="1">
      <c r="B5" s="7" t="inlineStr">
        <is>
          <t>Neste arquivo</t>
        </is>
      </c>
      <c r="C5" s="8" t="n"/>
      <c r="D5" s="8" t="n"/>
    </row>
    <row r="6" ht="20" customHeight="1">
      <c r="B6" s="9" t="inlineStr">
        <is>
          <t>Lista Mestra</t>
        </is>
      </c>
      <c r="C6" s="10" t="inlineStr">
        <is>
          <t>Documentos PCMD com revisão, datas, elaborador, aprovador e situação.</t>
        </is>
      </c>
      <c r="D6" s="11" t="n"/>
    </row>
    <row r="7" ht="20" customHeight="1">
      <c r="B7" s="9" t="inlineStr">
        <is>
          <t>Revisões</t>
        </is>
      </c>
      <c r="C7" s="10" t="inlineStr">
        <is>
          <t>Histórico de cada revisão documental.</t>
        </is>
      </c>
      <c r="D7" s="11" t="n"/>
    </row>
    <row r="8" ht="20" customHeight="1">
      <c r="B8" s="9" t="inlineStr">
        <is>
          <t>Organização</t>
        </is>
      </c>
      <c r="C8" s="10" t="inlineStr">
        <is>
          <t>Nome, referencial, prefixo, elaborador/aprovador padrão e meta de disponibilidade.</t>
        </is>
      </c>
      <c r="D8" s="11" t="n"/>
    </row>
    <row r="9" ht="20" customHeight="1">
      <c r="B9" s="9" t="inlineStr">
        <is>
          <t>Pessoas</t>
        </is>
      </c>
      <c r="C9" s="10" t="inlineStr">
        <is>
          <t>Pessoas e funções (dado pessoal mínimo, local).</t>
        </is>
      </c>
      <c r="D9" s="11" t="n"/>
    </row>
    <row r="10" ht="20" customHeight="1">
      <c r="B10" s="9" t="inlineStr">
        <is>
          <t>Requisitos</t>
        </is>
      </c>
      <c r="C10" s="10" t="inlineStr">
        <is>
          <t>Referências com fonte, versão, data e status de verificação.</t>
        </is>
      </c>
      <c r="D10" s="11" t="n"/>
    </row>
    <row r="11" ht="20" customHeight="1">
      <c r="B11" s="9" t="inlineStr">
        <is>
          <t>Listas</t>
        </is>
      </c>
      <c r="C11" s="10" t="inlineStr">
        <is>
          <t>Valores aceitos nas listas suspensas.</t>
        </is>
      </c>
      <c r="D11" s="11" t="n"/>
    </row>
    <row r="13" ht="22" customHeight="1">
      <c r="B13" s="7" t="inlineStr">
        <is>
          <t>Como preencher</t>
        </is>
      </c>
      <c r="C13" s="8" t="n"/>
      <c r="D13" s="8" t="n"/>
    </row>
    <row r="14" ht="22" customHeight="1">
      <c r="A14" s="12" t="n">
        <v>1</v>
      </c>
      <c r="B14" s="13" t="inlineStr">
        <is>
          <t>Preencha a aba Organização e cadastre as Pessoas.</t>
        </is>
      </c>
    </row>
    <row r="15" ht="22" customHeight="1">
      <c r="A15" s="12" t="n">
        <v>2</v>
      </c>
      <c r="B15" s="13" t="inlineStr">
        <is>
          <t>Registre as referências em Requisitos (começam Não verificado).</t>
        </is>
      </c>
    </row>
    <row r="16" ht="22" customHeight="1">
      <c r="A16" s="12" t="n">
        <v>3</v>
      </c>
      <c r="B16" s="13" t="inlineStr">
        <is>
          <t>Mantenha a Lista Mestra e o histórico de Revisões a cada mudança.</t>
        </is>
      </c>
    </row>
    <row r="18" ht="22" customHeight="1">
      <c r="B18" s="7" t="inlineStr">
        <is>
          <t>Legenda</t>
        </is>
      </c>
      <c r="C18" s="8" t="n"/>
      <c r="D18" s="8" t="n"/>
    </row>
    <row r="19" ht="19" customHeight="1">
      <c r="B19" s="14" t="inlineStr">
        <is>
          <t>PREENCHER</t>
        </is>
      </c>
      <c r="C19" s="15" t="inlineStr">
        <is>
          <t>Cabeçalho azul: digite aqui (texto, número ou data).</t>
        </is>
      </c>
    </row>
    <row r="20" ht="19" customHeight="1">
      <c r="B20" s="14" t="inlineStr">
        <is>
          <t>ID</t>
        </is>
      </c>
      <c r="C20" s="15" t="inlineStr">
        <is>
          <t>Identificador técnico estável. Não troque por TAG, nome ou número de linha.</t>
        </is>
      </c>
    </row>
    <row r="21" ht="19" customHeight="1">
      <c r="B21" s="16" t="inlineStr">
        <is>
          <t>AUTOMÁTICO</t>
        </is>
      </c>
      <c r="C21" s="15" t="inlineStr">
        <is>
          <t>Cabeçalho cinza: fórmula. Não digite; recalcula sozinho.</t>
        </is>
      </c>
    </row>
    <row r="22" ht="19" customHeight="1">
      <c r="B22" s="17" t="inlineStr">
        <is>
          <t>ERRO</t>
        </is>
      </c>
      <c r="C22" s="15" t="inlineStr">
        <is>
          <t>Inconsistência a corrigir.</t>
        </is>
      </c>
    </row>
    <row r="23" ht="19" customHeight="1">
      <c r="B23" s="18" t="inlineStr">
        <is>
          <t>Pendente · Verificar</t>
        </is>
      </c>
      <c r="C23" s="15" t="inlineStr">
        <is>
          <t>Falta informação ou precisa de conferência.</t>
        </is>
      </c>
    </row>
    <row r="24" ht="19" customHeight="1">
      <c r="B24" s="19" t="inlineStr">
        <is>
          <t>OK</t>
        </is>
      </c>
      <c r="C24" s="15" t="inlineStr">
        <is>
          <t>Conferência sem problema.</t>
        </is>
      </c>
    </row>
    <row r="26" ht="22" customHeight="1">
      <c r="B26" s="7" t="inlineStr">
        <is>
          <t>Esta emissão</t>
        </is>
      </c>
      <c r="C26" s="8" t="n"/>
      <c r="D26" s="8" t="n"/>
    </row>
    <row r="27" ht="22" customHeight="1">
      <c r="B27" s="20" t="inlineStr">
        <is>
          <t>Origem dos dados</t>
        </is>
      </c>
      <c r="C27" s="21" t="n"/>
    </row>
    <row r="28" ht="22" customHeight="1">
      <c r="B28" s="20" t="inlineStr">
        <is>
          <t>Data de emissão</t>
        </is>
      </c>
      <c r="C28" s="22" t="n"/>
    </row>
    <row r="30" ht="26" customHeight="1">
      <c r="B30" s="23" t="inlineStr">
        <is>
          <t>Modelo 1.0.0 · 23/10/2026 · Thiago Oliveira Lima · pcmdireto@gmail.com · Licença MIT. Sem macros, vínculos externos ou envio de dados. Regras completas, recálculo e como ampliar: COMO-USAR.md.</t>
        </is>
      </c>
    </row>
  </sheetData>
  <mergeCells count="7">
    <mergeCell ref="B14:D14"/>
    <mergeCell ref="A3:D3"/>
    <mergeCell ref="B30:D30"/>
    <mergeCell ref="A2:D2"/>
    <mergeCell ref="B15:D15"/>
    <mergeCell ref="B1:C1"/>
    <mergeCell ref="B16:D16"/>
  </mergeCells>
  <dataValidations count="1">
    <dataValidation sqref="C28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Lista Mestra'!A1" display="Lista Mestra"/>
    <hyperlink ref="B7" location="'Revisões'!A1" display="Revisões"/>
    <hyperlink ref="B8" location="'Organização'!A1" display="Organização"/>
    <hyperlink ref="B9" location="'Pessoas'!A1" display="Pessoas"/>
    <hyperlink ref="B10" location="'Requisitos'!A1" display="Requisitos"/>
    <hyperlink ref="B11" location="'Listas'!A1" display="Listas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0" customWidth="1" min="4" max="4"/>
    <col width="14" customWidth="1" min="5" max="5"/>
    <col width="18" customWidth="1" min="6" max="6"/>
    <col width="18" customWidth="1" min="7" max="7"/>
    <col width="14" customWidth="1" min="8" max="8"/>
    <col width="15" customWidth="1" min="9" max="9"/>
    <col width="30" customWidth="1" min="10" max="10"/>
    <col width="24" customWidth="1" min="11" max="11"/>
  </cols>
  <sheetData>
    <row r="1" ht="32" customHeight="1">
      <c r="A1" s="12" t="inlineStr">
        <is>
          <t>PCMD-01</t>
        </is>
      </c>
      <c r="B1" s="24" t="inlineStr">
        <is>
          <t>Lista mestra de documentos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</row>
    <row r="2" ht="20" customHeight="1">
      <c r="A2" s="25" t="inlineStr">
        <is>
          <t>Uma linha por documento. Informe o aprovador só depois da aprovação efetiva.</t>
        </is>
      </c>
    </row>
    <row r="3" ht="18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  <c r="I4" s="27">
        <f>IF(COUNTA(A57:A2056)&gt;0,"ATENÇÃO: dados além da linha 56","Linhas: "&amp;COUNTA(A7:A56)&amp;" de 50"&amp;IF(COUNTIF(J7:J56,"ERRO*")&gt;0,"   ·   "&amp;COUNTIF(J7:J56,"ERRO*")&amp;" com ERRO",""))</f>
        <v/>
      </c>
    </row>
    <row r="5" ht="14" customHeight="1">
      <c r="A5" s="28" t="inlineStr">
        <is>
          <t>PREENCHER</t>
        </is>
      </c>
      <c r="B5" s="28" t="inlineStr">
        <is>
          <t>PREENCHER</t>
        </is>
      </c>
      <c r="C5" s="28" t="inlineStr">
        <is>
          <t>PREENCHER</t>
        </is>
      </c>
      <c r="D5" s="28" t="inlineStr">
        <is>
          <t>PREENCHER</t>
        </is>
      </c>
      <c r="E5" s="28" t="inlineStr">
        <is>
          <t>PREENCHER</t>
        </is>
      </c>
      <c r="F5" s="28" t="inlineStr">
        <is>
          <t>PREENCHER</t>
        </is>
      </c>
      <c r="G5" s="28" t="inlineStr">
        <is>
          <t>PREENCHER</t>
        </is>
      </c>
      <c r="H5" s="28" t="inlineStr">
        <is>
          <t>PREENCHER</t>
        </is>
      </c>
      <c r="I5" s="28" t="inlineStr">
        <is>
          <t>PREENCHER</t>
        </is>
      </c>
      <c r="J5" s="29" t="inlineStr">
        <is>
          <t>AUTOMÁTICO</t>
        </is>
      </c>
      <c r="K5" s="28" t="inlineStr">
        <is>
          <t>PREENCHER</t>
        </is>
      </c>
    </row>
    <row r="6" ht="32.09999999999999" customHeight="1">
      <c r="A6" s="30" t="inlineStr">
        <is>
          <t>Código</t>
        </is>
      </c>
      <c r="B6" s="30" t="inlineStr">
        <is>
          <t>Título</t>
        </is>
      </c>
      <c r="C6" s="30" t="inlineStr">
        <is>
          <t>Tipo</t>
        </is>
      </c>
      <c r="D6" s="30" t="inlineStr">
        <is>
          <t>Revisão</t>
        </is>
      </c>
      <c r="E6" s="30" t="inlineStr">
        <is>
          <t>Data da revisão (dd/mm/aaaa)</t>
        </is>
      </c>
      <c r="F6" s="30" t="inlineStr">
        <is>
          <t>Elaborador (nome)</t>
        </is>
      </c>
      <c r="G6" s="30" t="inlineStr">
        <is>
          <t>Aprovador (nome)</t>
        </is>
      </c>
      <c r="H6" s="30" t="inlineStr">
        <is>
          <t>Próxima revisão (dd/mm/aaaa)</t>
        </is>
      </c>
      <c r="I6" s="30" t="inlineStr">
        <is>
          <t>Situação</t>
        </is>
      </c>
      <c r="J6" s="31" t="inlineStr">
        <is>
          <t>Conferência</t>
        </is>
      </c>
      <c r="K6" s="30" t="inlineStr">
        <is>
          <t>Observação</t>
        </is>
      </c>
    </row>
    <row r="7">
      <c r="A7" s="32" t="inlineStr">
        <is>
          <t>PCMD-01</t>
        </is>
      </c>
      <c r="B7" s="33" t="inlineStr">
        <is>
          <t>Lista mestra de documentos</t>
        </is>
      </c>
      <c r="C7" s="32" t="inlineStr">
        <is>
          <t>Planilha (XLSX)</t>
        </is>
      </c>
      <c r="D7" s="32" t="n"/>
      <c r="E7" s="34" t="n"/>
      <c r="F7" s="32" t="n"/>
      <c r="G7" s="32" t="n"/>
      <c r="H7" s="34" t="n"/>
      <c r="I7" s="32" t="n"/>
      <c r="J7" s="35">
        <f>IF(A7="","",IF(AND(ISNUMBER(E7),ISNUMBER(H7),H7&lt;E7),"Verificar: próxima revisão anterior à data",IF(AND(G7&lt;&gt;"",I7&lt;&gt;"Aprovado"),"Verificar: aprovador sem situação Aprovado",IF(AND(I7="Aprovado",G7=""),"Verificar: Aprovado sem aprovador","OK"))))</f>
        <v/>
      </c>
      <c r="K7" s="32" t="n"/>
    </row>
    <row r="8">
      <c r="A8" s="32" t="inlineStr">
        <is>
          <t>PCMD-02</t>
        </is>
      </c>
      <c r="B8" s="33" t="inlineStr">
        <is>
          <t>Ativos e criticidade</t>
        </is>
      </c>
      <c r="C8" s="32" t="inlineStr">
        <is>
          <t>Planilha (XLSX)</t>
        </is>
      </c>
      <c r="D8" s="32" t="n"/>
      <c r="E8" s="34" t="n"/>
      <c r="F8" s="32" t="n"/>
      <c r="G8" s="32" t="n"/>
      <c r="H8" s="34" t="n"/>
      <c r="I8" s="32" t="n"/>
      <c r="J8" s="35">
        <f>IF(A8="","",IF(AND(ISNUMBER(E8),ISNUMBER(H8),H8&lt;E8),"Verificar: próxima revisão anterior à data",IF(AND(G8&lt;&gt;"",I8&lt;&gt;"Aprovado"),"Verificar: aprovador sem situação Aprovado",IF(AND(I8="Aprovado",G8=""),"Verificar: Aprovado sem aprovador","OK"))))</f>
        <v/>
      </c>
      <c r="K8" s="32" t="n"/>
    </row>
    <row r="9">
      <c r="A9" s="32" t="inlineStr">
        <is>
          <t>PCMD-03</t>
        </is>
      </c>
      <c r="B9" s="33" t="inlineStr">
        <is>
          <t>Plano mestre de manutenção</t>
        </is>
      </c>
      <c r="C9" s="32" t="inlineStr">
        <is>
          <t>Planilha (XLSX)</t>
        </is>
      </c>
      <c r="D9" s="32" t="n"/>
      <c r="E9" s="34" t="n"/>
      <c r="F9" s="32" t="n"/>
      <c r="G9" s="32" t="n"/>
      <c r="H9" s="34" t="n"/>
      <c r="I9" s="32" t="n"/>
      <c r="J9" s="35">
        <f>IF(A9="","",IF(AND(ISNUMBER(E9),ISNUMBER(H9),H9&lt;E9),"Verificar: próxima revisão anterior à data",IF(AND(G9&lt;&gt;"",I9&lt;&gt;"Aprovado"),"Verificar: aprovador sem situação Aprovado",IF(AND(I9="Aprovado",G9=""),"Verificar: Aprovado sem aprovador","OK"))))</f>
        <v/>
      </c>
      <c r="K9" s="32" t="n"/>
    </row>
    <row r="10">
      <c r="A10" s="32" t="inlineStr">
        <is>
          <t>PCMD-04</t>
        </is>
      </c>
      <c r="B10" s="33" t="inlineStr">
        <is>
          <t>Cronograma e acompanhamento mensal</t>
        </is>
      </c>
      <c r="C10" s="32" t="inlineStr">
        <is>
          <t>Planilha (XLSX)</t>
        </is>
      </c>
      <c r="D10" s="32" t="n"/>
      <c r="E10" s="34" t="n"/>
      <c r="F10" s="32" t="n"/>
      <c r="G10" s="32" t="n"/>
      <c r="H10" s="34" t="n"/>
      <c r="I10" s="32" t="n"/>
      <c r="J10" s="35">
        <f>IF(A10="","",IF(AND(ISNUMBER(E10),ISNUMBER(H10),H10&lt;E10),"Verificar: próxima revisão anterior à data",IF(AND(G10&lt;&gt;"",I10&lt;&gt;"Aprovado"),"Verificar: aprovador sem situação Aprovado",IF(AND(I10="Aprovado",G10=""),"Verificar: Aprovado sem aprovador","OK"))))</f>
        <v/>
      </c>
      <c r="K10" s="32" t="n"/>
    </row>
    <row r="11">
      <c r="A11" s="32" t="inlineStr">
        <is>
          <t>PCMD-05</t>
        </is>
      </c>
      <c r="B11" s="33" t="inlineStr">
        <is>
          <t>Ficha de falha</t>
        </is>
      </c>
      <c r="C11" s="32" t="inlineStr">
        <is>
          <t>Planilha (XLSX)</t>
        </is>
      </c>
      <c r="D11" s="32" t="n"/>
      <c r="E11" s="34" t="n"/>
      <c r="F11" s="32" t="n"/>
      <c r="G11" s="32" t="n"/>
      <c r="H11" s="34" t="n"/>
      <c r="I11" s="32" t="n"/>
      <c r="J11" s="35">
        <f>IF(A11="","",IF(AND(ISNUMBER(E11),ISNUMBER(H11),H11&lt;E11),"Verificar: próxima revisão anterior à data",IF(AND(G11&lt;&gt;"",I11&lt;&gt;"Aprovado"),"Verificar: aprovador sem situação Aprovado",IF(AND(I11="Aprovado",G11=""),"Verificar: Aprovado sem aprovador","OK"))))</f>
        <v/>
      </c>
      <c r="K11" s="32" t="n"/>
    </row>
    <row r="12">
      <c r="A12" s="32" t="inlineStr">
        <is>
          <t>PCMD-W1</t>
        </is>
      </c>
      <c r="B12" s="33" t="inlineStr">
        <is>
          <t>Manual de Gestão de Ativos</t>
        </is>
      </c>
      <c r="C12" s="32" t="inlineStr">
        <is>
          <t>Manual (DOCX)</t>
        </is>
      </c>
      <c r="D12" s="32" t="n"/>
      <c r="E12" s="34" t="n"/>
      <c r="F12" s="32" t="n"/>
      <c r="G12" s="32" t="n"/>
      <c r="H12" s="34" t="n"/>
      <c r="I12" s="32" t="n"/>
      <c r="J12" s="35">
        <f>IF(A12="","",IF(AND(ISNUMBER(E12),ISNUMBER(H12),H12&lt;E12),"Verificar: próxima revisão anterior à data",IF(AND(G12&lt;&gt;"",I12&lt;&gt;"Aprovado"),"Verificar: aprovador sem situação Aprovado",IF(AND(I12="Aprovado",G12=""),"Verificar: Aprovado sem aprovador","OK"))))</f>
        <v/>
      </c>
      <c r="K12" s="32" t="n"/>
    </row>
    <row r="13">
      <c r="A13" s="32" t="inlineStr">
        <is>
          <t>PCMD-W2</t>
        </is>
      </c>
      <c r="B13" s="33" t="inlineStr">
        <is>
          <t>Manual de Estratégia de Manutenção</t>
        </is>
      </c>
      <c r="C13" s="32" t="inlineStr">
        <is>
          <t>Manual (DOCX)</t>
        </is>
      </c>
      <c r="D13" s="32" t="n"/>
      <c r="E13" s="34" t="n"/>
      <c r="F13" s="32" t="n"/>
      <c r="G13" s="32" t="n"/>
      <c r="H13" s="34" t="n"/>
      <c r="I13" s="32" t="n"/>
      <c r="J13" s="35">
        <f>IF(A13="","",IF(AND(ISNUMBER(E13),ISNUMBER(H13),H13&lt;E13),"Verificar: próxima revisão anterior à data",IF(AND(G13&lt;&gt;"",I13&lt;&gt;"Aprovado"),"Verificar: aprovador sem situação Aprovado",IF(AND(I13="Aprovado",G13=""),"Verificar: Aprovado sem aprovador","OK"))))</f>
        <v/>
      </c>
      <c r="K13" s="32" t="n"/>
    </row>
    <row r="14">
      <c r="A14" s="32" t="n"/>
      <c r="B14" s="33" t="n"/>
      <c r="C14" s="32" t="n"/>
      <c r="D14" s="32" t="n"/>
      <c r="E14" s="34" t="n"/>
      <c r="F14" s="32" t="n"/>
      <c r="G14" s="32" t="n"/>
      <c r="H14" s="34" t="n"/>
      <c r="I14" s="32" t="n"/>
      <c r="J14" s="35">
        <f>IF(A14="","",IF(AND(ISNUMBER(E14),ISNUMBER(H14),H14&lt;E14),"Verificar: próxima revisão anterior à data",IF(AND(G14&lt;&gt;"",I14&lt;&gt;"Aprovado"),"Verificar: aprovador sem situação Aprovado",IF(AND(I14="Aprovado",G14=""),"Verificar: Aprovado sem aprovador","OK"))))</f>
        <v/>
      </c>
      <c r="K14" s="32" t="n"/>
    </row>
    <row r="15">
      <c r="A15" s="32" t="n"/>
      <c r="B15" s="33" t="n"/>
      <c r="C15" s="32" t="n"/>
      <c r="D15" s="32" t="n"/>
      <c r="E15" s="34" t="n"/>
      <c r="F15" s="32" t="n"/>
      <c r="G15" s="32" t="n"/>
      <c r="H15" s="34" t="n"/>
      <c r="I15" s="32" t="n"/>
      <c r="J15" s="35">
        <f>IF(A15="","",IF(AND(ISNUMBER(E15),ISNUMBER(H15),H15&lt;E15),"Verificar: próxima revisão anterior à data",IF(AND(G15&lt;&gt;"",I15&lt;&gt;"Aprovado"),"Verificar: aprovador sem situação Aprovado",IF(AND(I15="Aprovado",G15=""),"Verificar: Aprovado sem aprovador","OK"))))</f>
        <v/>
      </c>
      <c r="K15" s="32" t="n"/>
    </row>
    <row r="16">
      <c r="A16" s="32" t="n"/>
      <c r="B16" s="33" t="n"/>
      <c r="C16" s="32" t="n"/>
      <c r="D16" s="32" t="n"/>
      <c r="E16" s="34" t="n"/>
      <c r="F16" s="32" t="n"/>
      <c r="G16" s="32" t="n"/>
      <c r="H16" s="34" t="n"/>
      <c r="I16" s="32" t="n"/>
      <c r="J16" s="35">
        <f>IF(A16="","",IF(AND(ISNUMBER(E16),ISNUMBER(H16),H16&lt;E16),"Verificar: próxima revisão anterior à data",IF(AND(G16&lt;&gt;"",I16&lt;&gt;"Aprovado"),"Verificar: aprovador sem situação Aprovado",IF(AND(I16="Aprovado",G16=""),"Verificar: Aprovado sem aprovador","OK"))))</f>
        <v/>
      </c>
      <c r="K16" s="32" t="n"/>
    </row>
    <row r="17">
      <c r="A17" s="32" t="n"/>
      <c r="B17" s="33" t="n"/>
      <c r="C17" s="32" t="n"/>
      <c r="D17" s="32" t="n"/>
      <c r="E17" s="34" t="n"/>
      <c r="F17" s="32" t="n"/>
      <c r="G17" s="32" t="n"/>
      <c r="H17" s="34" t="n"/>
      <c r="I17" s="32" t="n"/>
      <c r="J17" s="35">
        <f>IF(A17="","",IF(AND(ISNUMBER(E17),ISNUMBER(H17),H17&lt;E17),"Verificar: próxima revisão anterior à data",IF(AND(G17&lt;&gt;"",I17&lt;&gt;"Aprovado"),"Verificar: aprovador sem situação Aprovado",IF(AND(I17="Aprovado",G17=""),"Verificar: Aprovado sem aprovador","OK"))))</f>
        <v/>
      </c>
      <c r="K17" s="32" t="n"/>
    </row>
    <row r="18">
      <c r="A18" s="32" t="n"/>
      <c r="B18" s="33" t="n"/>
      <c r="C18" s="32" t="n"/>
      <c r="D18" s="32" t="n"/>
      <c r="E18" s="34" t="n"/>
      <c r="F18" s="32" t="n"/>
      <c r="G18" s="32" t="n"/>
      <c r="H18" s="34" t="n"/>
      <c r="I18" s="32" t="n"/>
      <c r="J18" s="35">
        <f>IF(A18="","",IF(AND(ISNUMBER(E18),ISNUMBER(H18),H18&lt;E18),"Verificar: próxima revisão anterior à data",IF(AND(G18&lt;&gt;"",I18&lt;&gt;"Aprovado"),"Verificar: aprovador sem situação Aprovado",IF(AND(I18="Aprovado",G18=""),"Verificar: Aprovado sem aprovador","OK"))))</f>
        <v/>
      </c>
      <c r="K18" s="32" t="n"/>
    </row>
    <row r="19">
      <c r="A19" s="32" t="n"/>
      <c r="B19" s="33" t="n"/>
      <c r="C19" s="32" t="n"/>
      <c r="D19" s="32" t="n"/>
      <c r="E19" s="34" t="n"/>
      <c r="F19" s="32" t="n"/>
      <c r="G19" s="32" t="n"/>
      <c r="H19" s="34" t="n"/>
      <c r="I19" s="32" t="n"/>
      <c r="J19" s="35">
        <f>IF(A19="","",IF(AND(ISNUMBER(E19),ISNUMBER(H19),H19&lt;E19),"Verificar: próxima revisão anterior à data",IF(AND(G19&lt;&gt;"",I19&lt;&gt;"Aprovado"),"Verificar: aprovador sem situação Aprovado",IF(AND(I19="Aprovado",G19=""),"Verificar: Aprovado sem aprovador","OK"))))</f>
        <v/>
      </c>
      <c r="K19" s="32" t="n"/>
    </row>
    <row r="20">
      <c r="A20" s="32" t="n"/>
      <c r="B20" s="33" t="n"/>
      <c r="C20" s="32" t="n"/>
      <c r="D20" s="32" t="n"/>
      <c r="E20" s="34" t="n"/>
      <c r="F20" s="32" t="n"/>
      <c r="G20" s="32" t="n"/>
      <c r="H20" s="34" t="n"/>
      <c r="I20" s="32" t="n"/>
      <c r="J20" s="35">
        <f>IF(A20="","",IF(AND(ISNUMBER(E20),ISNUMBER(H20),H20&lt;E20),"Verificar: próxima revisão anterior à data",IF(AND(G20&lt;&gt;"",I20&lt;&gt;"Aprovado"),"Verificar: aprovador sem situação Aprovado",IF(AND(I20="Aprovado",G20=""),"Verificar: Aprovado sem aprovador","OK"))))</f>
        <v/>
      </c>
      <c r="K20" s="32" t="n"/>
    </row>
    <row r="21">
      <c r="A21" s="32" t="n"/>
      <c r="B21" s="33" t="n"/>
      <c r="C21" s="32" t="n"/>
      <c r="D21" s="32" t="n"/>
      <c r="E21" s="34" t="n"/>
      <c r="F21" s="32" t="n"/>
      <c r="G21" s="32" t="n"/>
      <c r="H21" s="34" t="n"/>
      <c r="I21" s="32" t="n"/>
      <c r="J21" s="35">
        <f>IF(A21="","",IF(AND(ISNUMBER(E21),ISNUMBER(H21),H21&lt;E21),"Verificar: próxima revisão anterior à data",IF(AND(G21&lt;&gt;"",I21&lt;&gt;"Aprovado"),"Verificar: aprovador sem situação Aprovado",IF(AND(I21="Aprovado",G21=""),"Verificar: Aprovado sem aprovador","OK"))))</f>
        <v/>
      </c>
      <c r="K21" s="32" t="n"/>
    </row>
    <row r="22">
      <c r="A22" s="32" t="n"/>
      <c r="B22" s="33" t="n"/>
      <c r="C22" s="32" t="n"/>
      <c r="D22" s="32" t="n"/>
      <c r="E22" s="34" t="n"/>
      <c r="F22" s="32" t="n"/>
      <c r="G22" s="32" t="n"/>
      <c r="H22" s="34" t="n"/>
      <c r="I22" s="32" t="n"/>
      <c r="J22" s="35">
        <f>IF(A22="","",IF(AND(ISNUMBER(E22),ISNUMBER(H22),H22&lt;E22),"Verificar: próxima revisão anterior à data",IF(AND(G22&lt;&gt;"",I22&lt;&gt;"Aprovado"),"Verificar: aprovador sem situação Aprovado",IF(AND(I22="Aprovado",G22=""),"Verificar: Aprovado sem aprovador","OK"))))</f>
        <v/>
      </c>
      <c r="K22" s="32" t="n"/>
    </row>
    <row r="23">
      <c r="A23" s="32" t="n"/>
      <c r="B23" s="33" t="n"/>
      <c r="C23" s="32" t="n"/>
      <c r="D23" s="32" t="n"/>
      <c r="E23" s="34" t="n"/>
      <c r="F23" s="32" t="n"/>
      <c r="G23" s="32" t="n"/>
      <c r="H23" s="34" t="n"/>
      <c r="I23" s="32" t="n"/>
      <c r="J23" s="35">
        <f>IF(A23="","",IF(AND(ISNUMBER(E23),ISNUMBER(H23),H23&lt;E23),"Verificar: próxima revisão anterior à data",IF(AND(G23&lt;&gt;"",I23&lt;&gt;"Aprovado"),"Verificar: aprovador sem situação Aprovado",IF(AND(I23="Aprovado",G23=""),"Verificar: Aprovado sem aprovador","OK"))))</f>
        <v/>
      </c>
      <c r="K23" s="32" t="n"/>
    </row>
    <row r="24">
      <c r="A24" s="32" t="n"/>
      <c r="B24" s="33" t="n"/>
      <c r="C24" s="32" t="n"/>
      <c r="D24" s="32" t="n"/>
      <c r="E24" s="34" t="n"/>
      <c r="F24" s="32" t="n"/>
      <c r="G24" s="32" t="n"/>
      <c r="H24" s="34" t="n"/>
      <c r="I24" s="32" t="n"/>
      <c r="J24" s="35">
        <f>IF(A24="","",IF(AND(ISNUMBER(E24),ISNUMBER(H24),H24&lt;E24),"Verificar: próxima revisão anterior à data",IF(AND(G24&lt;&gt;"",I24&lt;&gt;"Aprovado"),"Verificar: aprovador sem situação Aprovado",IF(AND(I24="Aprovado",G24=""),"Verificar: Aprovado sem aprovador","OK"))))</f>
        <v/>
      </c>
      <c r="K24" s="32" t="n"/>
    </row>
    <row r="25">
      <c r="A25" s="32" t="n"/>
      <c r="B25" s="33" t="n"/>
      <c r="C25" s="32" t="n"/>
      <c r="D25" s="32" t="n"/>
      <c r="E25" s="34" t="n"/>
      <c r="F25" s="32" t="n"/>
      <c r="G25" s="32" t="n"/>
      <c r="H25" s="34" t="n"/>
      <c r="I25" s="32" t="n"/>
      <c r="J25" s="35">
        <f>IF(A25="","",IF(AND(ISNUMBER(E25),ISNUMBER(H25),H25&lt;E25),"Verificar: próxima revisão anterior à data",IF(AND(G25&lt;&gt;"",I25&lt;&gt;"Aprovado"),"Verificar: aprovador sem situação Aprovado",IF(AND(I25="Aprovado",G25=""),"Verificar: Aprovado sem aprovador","OK"))))</f>
        <v/>
      </c>
      <c r="K25" s="32" t="n"/>
    </row>
    <row r="26">
      <c r="A26" s="32" t="n"/>
      <c r="B26" s="33" t="n"/>
      <c r="C26" s="32" t="n"/>
      <c r="D26" s="32" t="n"/>
      <c r="E26" s="34" t="n"/>
      <c r="F26" s="32" t="n"/>
      <c r="G26" s="32" t="n"/>
      <c r="H26" s="34" t="n"/>
      <c r="I26" s="32" t="n"/>
      <c r="J26" s="35">
        <f>IF(A26="","",IF(AND(ISNUMBER(E26),ISNUMBER(H26),H26&lt;E26),"Verificar: próxima revisão anterior à data",IF(AND(G26&lt;&gt;"",I26&lt;&gt;"Aprovado"),"Verificar: aprovador sem situação Aprovado",IF(AND(I26="Aprovado",G26=""),"Verificar: Aprovado sem aprovador","OK"))))</f>
        <v/>
      </c>
      <c r="K26" s="32" t="n"/>
    </row>
    <row r="27">
      <c r="A27" s="32" t="n"/>
      <c r="B27" s="33" t="n"/>
      <c r="C27" s="32" t="n"/>
      <c r="D27" s="32" t="n"/>
      <c r="E27" s="34" t="n"/>
      <c r="F27" s="32" t="n"/>
      <c r="G27" s="32" t="n"/>
      <c r="H27" s="34" t="n"/>
      <c r="I27" s="32" t="n"/>
      <c r="J27" s="35">
        <f>IF(A27="","",IF(AND(ISNUMBER(E27),ISNUMBER(H27),H27&lt;E27),"Verificar: próxima revisão anterior à data",IF(AND(G27&lt;&gt;"",I27&lt;&gt;"Aprovado"),"Verificar: aprovador sem situação Aprovado",IF(AND(I27="Aprovado",G27=""),"Verificar: Aprovado sem aprovador","OK"))))</f>
        <v/>
      </c>
      <c r="K27" s="32" t="n"/>
    </row>
    <row r="28">
      <c r="A28" s="32" t="n"/>
      <c r="B28" s="33" t="n"/>
      <c r="C28" s="32" t="n"/>
      <c r="D28" s="32" t="n"/>
      <c r="E28" s="34" t="n"/>
      <c r="F28" s="32" t="n"/>
      <c r="G28" s="32" t="n"/>
      <c r="H28" s="34" t="n"/>
      <c r="I28" s="32" t="n"/>
      <c r="J28" s="35">
        <f>IF(A28="","",IF(AND(ISNUMBER(E28),ISNUMBER(H28),H28&lt;E28),"Verificar: próxima revisão anterior à data",IF(AND(G28&lt;&gt;"",I28&lt;&gt;"Aprovado"),"Verificar: aprovador sem situação Aprovado",IF(AND(I28="Aprovado",G28=""),"Verificar: Aprovado sem aprovador","OK"))))</f>
        <v/>
      </c>
      <c r="K28" s="32" t="n"/>
    </row>
    <row r="29">
      <c r="A29" s="32" t="n"/>
      <c r="B29" s="33" t="n"/>
      <c r="C29" s="32" t="n"/>
      <c r="D29" s="32" t="n"/>
      <c r="E29" s="34" t="n"/>
      <c r="F29" s="32" t="n"/>
      <c r="G29" s="32" t="n"/>
      <c r="H29" s="34" t="n"/>
      <c r="I29" s="32" t="n"/>
      <c r="J29" s="35">
        <f>IF(A29="","",IF(AND(ISNUMBER(E29),ISNUMBER(H29),H29&lt;E29),"Verificar: próxima revisão anterior à data",IF(AND(G29&lt;&gt;"",I29&lt;&gt;"Aprovado"),"Verificar: aprovador sem situação Aprovado",IF(AND(I29="Aprovado",G29=""),"Verificar: Aprovado sem aprovador","OK"))))</f>
        <v/>
      </c>
      <c r="K29" s="32" t="n"/>
    </row>
    <row r="30">
      <c r="A30" s="32" t="n"/>
      <c r="B30" s="33" t="n"/>
      <c r="C30" s="32" t="n"/>
      <c r="D30" s="32" t="n"/>
      <c r="E30" s="34" t="n"/>
      <c r="F30" s="32" t="n"/>
      <c r="G30" s="32" t="n"/>
      <c r="H30" s="34" t="n"/>
      <c r="I30" s="32" t="n"/>
      <c r="J30" s="35">
        <f>IF(A30="","",IF(AND(ISNUMBER(E30),ISNUMBER(H30),H30&lt;E30),"Verificar: próxima revisão anterior à data",IF(AND(G30&lt;&gt;"",I30&lt;&gt;"Aprovado"),"Verificar: aprovador sem situação Aprovado",IF(AND(I30="Aprovado",G30=""),"Verificar: Aprovado sem aprovador","OK"))))</f>
        <v/>
      </c>
      <c r="K30" s="32" t="n"/>
    </row>
    <row r="31">
      <c r="A31" s="32" t="n"/>
      <c r="B31" s="33" t="n"/>
      <c r="C31" s="32" t="n"/>
      <c r="D31" s="32" t="n"/>
      <c r="E31" s="34" t="n"/>
      <c r="F31" s="32" t="n"/>
      <c r="G31" s="32" t="n"/>
      <c r="H31" s="34" t="n"/>
      <c r="I31" s="32" t="n"/>
      <c r="J31" s="35">
        <f>IF(A31="","",IF(AND(ISNUMBER(E31),ISNUMBER(H31),H31&lt;E31),"Verificar: próxima revisão anterior à data",IF(AND(G31&lt;&gt;"",I31&lt;&gt;"Aprovado"),"Verificar: aprovador sem situação Aprovado",IF(AND(I31="Aprovado",G31=""),"Verificar: Aprovado sem aprovador","OK"))))</f>
        <v/>
      </c>
      <c r="K31" s="32" t="n"/>
    </row>
    <row r="32">
      <c r="A32" s="32" t="n"/>
      <c r="B32" s="33" t="n"/>
      <c r="C32" s="32" t="n"/>
      <c r="D32" s="32" t="n"/>
      <c r="E32" s="34" t="n"/>
      <c r="F32" s="32" t="n"/>
      <c r="G32" s="32" t="n"/>
      <c r="H32" s="34" t="n"/>
      <c r="I32" s="32" t="n"/>
      <c r="J32" s="35">
        <f>IF(A32="","",IF(AND(ISNUMBER(E32),ISNUMBER(H32),H32&lt;E32),"Verificar: próxima revisão anterior à data",IF(AND(G32&lt;&gt;"",I32&lt;&gt;"Aprovado"),"Verificar: aprovador sem situação Aprovado",IF(AND(I32="Aprovado",G32=""),"Verificar: Aprovado sem aprovador","OK"))))</f>
        <v/>
      </c>
      <c r="K32" s="32" t="n"/>
    </row>
    <row r="33">
      <c r="A33" s="32" t="n"/>
      <c r="B33" s="33" t="n"/>
      <c r="C33" s="32" t="n"/>
      <c r="D33" s="32" t="n"/>
      <c r="E33" s="34" t="n"/>
      <c r="F33" s="32" t="n"/>
      <c r="G33" s="32" t="n"/>
      <c r="H33" s="34" t="n"/>
      <c r="I33" s="32" t="n"/>
      <c r="J33" s="35">
        <f>IF(A33="","",IF(AND(ISNUMBER(E33),ISNUMBER(H33),H33&lt;E33),"Verificar: próxima revisão anterior à data",IF(AND(G33&lt;&gt;"",I33&lt;&gt;"Aprovado"),"Verificar: aprovador sem situação Aprovado",IF(AND(I33="Aprovado",G33=""),"Verificar: Aprovado sem aprovador","OK"))))</f>
        <v/>
      </c>
      <c r="K33" s="32" t="n"/>
    </row>
    <row r="34">
      <c r="A34" s="32" t="n"/>
      <c r="B34" s="33" t="n"/>
      <c r="C34" s="32" t="n"/>
      <c r="D34" s="32" t="n"/>
      <c r="E34" s="34" t="n"/>
      <c r="F34" s="32" t="n"/>
      <c r="G34" s="32" t="n"/>
      <c r="H34" s="34" t="n"/>
      <c r="I34" s="32" t="n"/>
      <c r="J34" s="35">
        <f>IF(A34="","",IF(AND(ISNUMBER(E34),ISNUMBER(H34),H34&lt;E34),"Verificar: próxima revisão anterior à data",IF(AND(G34&lt;&gt;"",I34&lt;&gt;"Aprovado"),"Verificar: aprovador sem situação Aprovado",IF(AND(I34="Aprovado",G34=""),"Verificar: Aprovado sem aprovador","OK"))))</f>
        <v/>
      </c>
      <c r="K34" s="32" t="n"/>
    </row>
    <row r="35">
      <c r="A35" s="32" t="n"/>
      <c r="B35" s="33" t="n"/>
      <c r="C35" s="32" t="n"/>
      <c r="D35" s="32" t="n"/>
      <c r="E35" s="34" t="n"/>
      <c r="F35" s="32" t="n"/>
      <c r="G35" s="32" t="n"/>
      <c r="H35" s="34" t="n"/>
      <c r="I35" s="32" t="n"/>
      <c r="J35" s="35">
        <f>IF(A35="","",IF(AND(ISNUMBER(E35),ISNUMBER(H35),H35&lt;E35),"Verificar: próxima revisão anterior à data",IF(AND(G35&lt;&gt;"",I35&lt;&gt;"Aprovado"),"Verificar: aprovador sem situação Aprovado",IF(AND(I35="Aprovado",G35=""),"Verificar: Aprovado sem aprovador","OK"))))</f>
        <v/>
      </c>
      <c r="K35" s="32" t="n"/>
    </row>
    <row r="36">
      <c r="A36" s="32" t="n"/>
      <c r="B36" s="33" t="n"/>
      <c r="C36" s="32" t="n"/>
      <c r="D36" s="32" t="n"/>
      <c r="E36" s="34" t="n"/>
      <c r="F36" s="32" t="n"/>
      <c r="G36" s="32" t="n"/>
      <c r="H36" s="34" t="n"/>
      <c r="I36" s="32" t="n"/>
      <c r="J36" s="35">
        <f>IF(A36="","",IF(AND(ISNUMBER(E36),ISNUMBER(H36),H36&lt;E36),"Verificar: próxima revisão anterior à data",IF(AND(G36&lt;&gt;"",I36&lt;&gt;"Aprovado"),"Verificar: aprovador sem situação Aprovado",IF(AND(I36="Aprovado",G36=""),"Verificar: Aprovado sem aprovador","OK"))))</f>
        <v/>
      </c>
      <c r="K36" s="32" t="n"/>
    </row>
    <row r="37">
      <c r="A37" s="32" t="n"/>
      <c r="B37" s="33" t="n"/>
      <c r="C37" s="32" t="n"/>
      <c r="D37" s="32" t="n"/>
      <c r="E37" s="34" t="n"/>
      <c r="F37" s="32" t="n"/>
      <c r="G37" s="32" t="n"/>
      <c r="H37" s="34" t="n"/>
      <c r="I37" s="32" t="n"/>
      <c r="J37" s="35">
        <f>IF(A37="","",IF(AND(ISNUMBER(E37),ISNUMBER(H37),H37&lt;E37),"Verificar: próxima revisão anterior à data",IF(AND(G37&lt;&gt;"",I37&lt;&gt;"Aprovado"),"Verificar: aprovador sem situação Aprovado",IF(AND(I37="Aprovado",G37=""),"Verificar: Aprovado sem aprovador","OK"))))</f>
        <v/>
      </c>
      <c r="K37" s="32" t="n"/>
    </row>
    <row r="38">
      <c r="A38" s="32" t="n"/>
      <c r="B38" s="33" t="n"/>
      <c r="C38" s="32" t="n"/>
      <c r="D38" s="32" t="n"/>
      <c r="E38" s="34" t="n"/>
      <c r="F38" s="32" t="n"/>
      <c r="G38" s="32" t="n"/>
      <c r="H38" s="34" t="n"/>
      <c r="I38" s="32" t="n"/>
      <c r="J38" s="35">
        <f>IF(A38="","",IF(AND(ISNUMBER(E38),ISNUMBER(H38),H38&lt;E38),"Verificar: próxima revisão anterior à data",IF(AND(G38&lt;&gt;"",I38&lt;&gt;"Aprovado"),"Verificar: aprovador sem situação Aprovado",IF(AND(I38="Aprovado",G38=""),"Verificar: Aprovado sem aprovador","OK"))))</f>
        <v/>
      </c>
      <c r="K38" s="32" t="n"/>
    </row>
    <row r="39">
      <c r="A39" s="32" t="n"/>
      <c r="B39" s="33" t="n"/>
      <c r="C39" s="32" t="n"/>
      <c r="D39" s="32" t="n"/>
      <c r="E39" s="34" t="n"/>
      <c r="F39" s="32" t="n"/>
      <c r="G39" s="32" t="n"/>
      <c r="H39" s="34" t="n"/>
      <c r="I39" s="32" t="n"/>
      <c r="J39" s="35">
        <f>IF(A39="","",IF(AND(ISNUMBER(E39),ISNUMBER(H39),H39&lt;E39),"Verificar: próxima revisão anterior à data",IF(AND(G39&lt;&gt;"",I39&lt;&gt;"Aprovado"),"Verificar: aprovador sem situação Aprovado",IF(AND(I39="Aprovado",G39=""),"Verificar: Aprovado sem aprovador","OK"))))</f>
        <v/>
      </c>
      <c r="K39" s="32" t="n"/>
    </row>
    <row r="40">
      <c r="A40" s="32" t="n"/>
      <c r="B40" s="33" t="n"/>
      <c r="C40" s="32" t="n"/>
      <c r="D40" s="32" t="n"/>
      <c r="E40" s="34" t="n"/>
      <c r="F40" s="32" t="n"/>
      <c r="G40" s="32" t="n"/>
      <c r="H40" s="34" t="n"/>
      <c r="I40" s="32" t="n"/>
      <c r="J40" s="35">
        <f>IF(A40="","",IF(AND(ISNUMBER(E40),ISNUMBER(H40),H40&lt;E40),"Verificar: próxima revisão anterior à data",IF(AND(G40&lt;&gt;"",I40&lt;&gt;"Aprovado"),"Verificar: aprovador sem situação Aprovado",IF(AND(I40="Aprovado",G40=""),"Verificar: Aprovado sem aprovador","OK"))))</f>
        <v/>
      </c>
      <c r="K40" s="32" t="n"/>
    </row>
    <row r="41">
      <c r="A41" s="32" t="n"/>
      <c r="B41" s="33" t="n"/>
      <c r="C41" s="32" t="n"/>
      <c r="D41" s="32" t="n"/>
      <c r="E41" s="34" t="n"/>
      <c r="F41" s="32" t="n"/>
      <c r="G41" s="32" t="n"/>
      <c r="H41" s="34" t="n"/>
      <c r="I41" s="32" t="n"/>
      <c r="J41" s="35">
        <f>IF(A41="","",IF(AND(ISNUMBER(E41),ISNUMBER(H41),H41&lt;E41),"Verificar: próxima revisão anterior à data",IF(AND(G41&lt;&gt;"",I41&lt;&gt;"Aprovado"),"Verificar: aprovador sem situação Aprovado",IF(AND(I41="Aprovado",G41=""),"Verificar: Aprovado sem aprovador","OK"))))</f>
        <v/>
      </c>
      <c r="K41" s="32" t="n"/>
    </row>
    <row r="42">
      <c r="A42" s="32" t="n"/>
      <c r="B42" s="33" t="n"/>
      <c r="C42" s="32" t="n"/>
      <c r="D42" s="32" t="n"/>
      <c r="E42" s="34" t="n"/>
      <c r="F42" s="32" t="n"/>
      <c r="G42" s="32" t="n"/>
      <c r="H42" s="34" t="n"/>
      <c r="I42" s="32" t="n"/>
      <c r="J42" s="35">
        <f>IF(A42="","",IF(AND(ISNUMBER(E42),ISNUMBER(H42),H42&lt;E42),"Verificar: próxima revisão anterior à data",IF(AND(G42&lt;&gt;"",I42&lt;&gt;"Aprovado"),"Verificar: aprovador sem situação Aprovado",IF(AND(I42="Aprovado",G42=""),"Verificar: Aprovado sem aprovador","OK"))))</f>
        <v/>
      </c>
      <c r="K42" s="32" t="n"/>
    </row>
    <row r="43">
      <c r="A43" s="32" t="n"/>
      <c r="B43" s="33" t="n"/>
      <c r="C43" s="32" t="n"/>
      <c r="D43" s="32" t="n"/>
      <c r="E43" s="34" t="n"/>
      <c r="F43" s="32" t="n"/>
      <c r="G43" s="32" t="n"/>
      <c r="H43" s="34" t="n"/>
      <c r="I43" s="32" t="n"/>
      <c r="J43" s="35">
        <f>IF(A43="","",IF(AND(ISNUMBER(E43),ISNUMBER(H43),H43&lt;E43),"Verificar: próxima revisão anterior à data",IF(AND(G43&lt;&gt;"",I43&lt;&gt;"Aprovado"),"Verificar: aprovador sem situação Aprovado",IF(AND(I43="Aprovado",G43=""),"Verificar: Aprovado sem aprovador","OK"))))</f>
        <v/>
      </c>
      <c r="K43" s="32" t="n"/>
    </row>
    <row r="44">
      <c r="A44" s="32" t="n"/>
      <c r="B44" s="33" t="n"/>
      <c r="C44" s="32" t="n"/>
      <c r="D44" s="32" t="n"/>
      <c r="E44" s="34" t="n"/>
      <c r="F44" s="32" t="n"/>
      <c r="G44" s="32" t="n"/>
      <c r="H44" s="34" t="n"/>
      <c r="I44" s="32" t="n"/>
      <c r="J44" s="35">
        <f>IF(A44="","",IF(AND(ISNUMBER(E44),ISNUMBER(H44),H44&lt;E44),"Verificar: próxima revisão anterior à data",IF(AND(G44&lt;&gt;"",I44&lt;&gt;"Aprovado"),"Verificar: aprovador sem situação Aprovado",IF(AND(I44="Aprovado",G44=""),"Verificar: Aprovado sem aprovador","OK"))))</f>
        <v/>
      </c>
      <c r="K44" s="32" t="n"/>
    </row>
    <row r="45">
      <c r="A45" s="32" t="n"/>
      <c r="B45" s="33" t="n"/>
      <c r="C45" s="32" t="n"/>
      <c r="D45" s="32" t="n"/>
      <c r="E45" s="34" t="n"/>
      <c r="F45" s="32" t="n"/>
      <c r="G45" s="32" t="n"/>
      <c r="H45" s="34" t="n"/>
      <c r="I45" s="32" t="n"/>
      <c r="J45" s="35">
        <f>IF(A45="","",IF(AND(ISNUMBER(E45),ISNUMBER(H45),H45&lt;E45),"Verificar: próxima revisão anterior à data",IF(AND(G45&lt;&gt;"",I45&lt;&gt;"Aprovado"),"Verificar: aprovador sem situação Aprovado",IF(AND(I45="Aprovado",G45=""),"Verificar: Aprovado sem aprovador","OK"))))</f>
        <v/>
      </c>
      <c r="K45" s="32" t="n"/>
    </row>
    <row r="46">
      <c r="A46" s="32" t="n"/>
      <c r="B46" s="33" t="n"/>
      <c r="C46" s="32" t="n"/>
      <c r="D46" s="32" t="n"/>
      <c r="E46" s="34" t="n"/>
      <c r="F46" s="32" t="n"/>
      <c r="G46" s="32" t="n"/>
      <c r="H46" s="34" t="n"/>
      <c r="I46" s="32" t="n"/>
      <c r="J46" s="35">
        <f>IF(A46="","",IF(AND(ISNUMBER(E46),ISNUMBER(H46),H46&lt;E46),"Verificar: próxima revisão anterior à data",IF(AND(G46&lt;&gt;"",I46&lt;&gt;"Aprovado"),"Verificar: aprovador sem situação Aprovado",IF(AND(I46="Aprovado",G46=""),"Verificar: Aprovado sem aprovador","OK"))))</f>
        <v/>
      </c>
      <c r="K46" s="32" t="n"/>
    </row>
    <row r="47">
      <c r="A47" s="32" t="n"/>
      <c r="B47" s="33" t="n"/>
      <c r="C47" s="32" t="n"/>
      <c r="D47" s="32" t="n"/>
      <c r="E47" s="34" t="n"/>
      <c r="F47" s="32" t="n"/>
      <c r="G47" s="32" t="n"/>
      <c r="H47" s="34" t="n"/>
      <c r="I47" s="32" t="n"/>
      <c r="J47" s="35">
        <f>IF(A47="","",IF(AND(ISNUMBER(E47),ISNUMBER(H47),H47&lt;E47),"Verificar: próxima revisão anterior à data",IF(AND(G47&lt;&gt;"",I47&lt;&gt;"Aprovado"),"Verificar: aprovador sem situação Aprovado",IF(AND(I47="Aprovado",G47=""),"Verificar: Aprovado sem aprovador","OK"))))</f>
        <v/>
      </c>
      <c r="K47" s="32" t="n"/>
    </row>
    <row r="48">
      <c r="A48" s="32" t="n"/>
      <c r="B48" s="33" t="n"/>
      <c r="C48" s="32" t="n"/>
      <c r="D48" s="32" t="n"/>
      <c r="E48" s="34" t="n"/>
      <c r="F48" s="32" t="n"/>
      <c r="G48" s="32" t="n"/>
      <c r="H48" s="34" t="n"/>
      <c r="I48" s="32" t="n"/>
      <c r="J48" s="35">
        <f>IF(A48="","",IF(AND(ISNUMBER(E48),ISNUMBER(H48),H48&lt;E48),"Verificar: próxima revisão anterior à data",IF(AND(G48&lt;&gt;"",I48&lt;&gt;"Aprovado"),"Verificar: aprovador sem situação Aprovado",IF(AND(I48="Aprovado",G48=""),"Verificar: Aprovado sem aprovador","OK"))))</f>
        <v/>
      </c>
      <c r="K48" s="32" t="n"/>
    </row>
    <row r="49">
      <c r="A49" s="32" t="n"/>
      <c r="B49" s="33" t="n"/>
      <c r="C49" s="32" t="n"/>
      <c r="D49" s="32" t="n"/>
      <c r="E49" s="34" t="n"/>
      <c r="F49" s="32" t="n"/>
      <c r="G49" s="32" t="n"/>
      <c r="H49" s="34" t="n"/>
      <c r="I49" s="32" t="n"/>
      <c r="J49" s="35">
        <f>IF(A49="","",IF(AND(ISNUMBER(E49),ISNUMBER(H49),H49&lt;E49),"Verificar: próxima revisão anterior à data",IF(AND(G49&lt;&gt;"",I49&lt;&gt;"Aprovado"),"Verificar: aprovador sem situação Aprovado",IF(AND(I49="Aprovado",G49=""),"Verificar: Aprovado sem aprovador","OK"))))</f>
        <v/>
      </c>
      <c r="K49" s="32" t="n"/>
    </row>
    <row r="50">
      <c r="A50" s="32" t="n"/>
      <c r="B50" s="33" t="n"/>
      <c r="C50" s="32" t="n"/>
      <c r="D50" s="32" t="n"/>
      <c r="E50" s="34" t="n"/>
      <c r="F50" s="32" t="n"/>
      <c r="G50" s="32" t="n"/>
      <c r="H50" s="34" t="n"/>
      <c r="I50" s="32" t="n"/>
      <c r="J50" s="35">
        <f>IF(A50="","",IF(AND(ISNUMBER(E50),ISNUMBER(H50),H50&lt;E50),"Verificar: próxima revisão anterior à data",IF(AND(G50&lt;&gt;"",I50&lt;&gt;"Aprovado"),"Verificar: aprovador sem situação Aprovado",IF(AND(I50="Aprovado",G50=""),"Verificar: Aprovado sem aprovador","OK"))))</f>
        <v/>
      </c>
      <c r="K50" s="32" t="n"/>
    </row>
    <row r="51">
      <c r="A51" s="32" t="n"/>
      <c r="B51" s="33" t="n"/>
      <c r="C51" s="32" t="n"/>
      <c r="D51" s="32" t="n"/>
      <c r="E51" s="34" t="n"/>
      <c r="F51" s="32" t="n"/>
      <c r="G51" s="32" t="n"/>
      <c r="H51" s="34" t="n"/>
      <c r="I51" s="32" t="n"/>
      <c r="J51" s="35">
        <f>IF(A51="","",IF(AND(ISNUMBER(E51),ISNUMBER(H51),H51&lt;E51),"Verificar: próxima revisão anterior à data",IF(AND(G51&lt;&gt;"",I51&lt;&gt;"Aprovado"),"Verificar: aprovador sem situação Aprovado",IF(AND(I51="Aprovado",G51=""),"Verificar: Aprovado sem aprovador","OK"))))</f>
        <v/>
      </c>
      <c r="K51" s="32" t="n"/>
    </row>
    <row r="52">
      <c r="A52" s="32" t="n"/>
      <c r="B52" s="33" t="n"/>
      <c r="C52" s="32" t="n"/>
      <c r="D52" s="32" t="n"/>
      <c r="E52" s="34" t="n"/>
      <c r="F52" s="32" t="n"/>
      <c r="G52" s="32" t="n"/>
      <c r="H52" s="34" t="n"/>
      <c r="I52" s="32" t="n"/>
      <c r="J52" s="35">
        <f>IF(A52="","",IF(AND(ISNUMBER(E52),ISNUMBER(H52),H52&lt;E52),"Verificar: próxima revisão anterior à data",IF(AND(G52&lt;&gt;"",I52&lt;&gt;"Aprovado"),"Verificar: aprovador sem situação Aprovado",IF(AND(I52="Aprovado",G52=""),"Verificar: Aprovado sem aprovador","OK"))))</f>
        <v/>
      </c>
      <c r="K52" s="32" t="n"/>
    </row>
    <row r="53">
      <c r="A53" s="32" t="n"/>
      <c r="B53" s="33" t="n"/>
      <c r="C53" s="32" t="n"/>
      <c r="D53" s="32" t="n"/>
      <c r="E53" s="34" t="n"/>
      <c r="F53" s="32" t="n"/>
      <c r="G53" s="32" t="n"/>
      <c r="H53" s="34" t="n"/>
      <c r="I53" s="32" t="n"/>
      <c r="J53" s="35">
        <f>IF(A53="","",IF(AND(ISNUMBER(E53),ISNUMBER(H53),H53&lt;E53),"Verificar: próxima revisão anterior à data",IF(AND(G53&lt;&gt;"",I53&lt;&gt;"Aprovado"),"Verificar: aprovador sem situação Aprovado",IF(AND(I53="Aprovado",G53=""),"Verificar: Aprovado sem aprovador","OK"))))</f>
        <v/>
      </c>
      <c r="K53" s="32" t="n"/>
    </row>
    <row r="54">
      <c r="A54" s="32" t="n"/>
      <c r="B54" s="33" t="n"/>
      <c r="C54" s="32" t="n"/>
      <c r="D54" s="32" t="n"/>
      <c r="E54" s="34" t="n"/>
      <c r="F54" s="32" t="n"/>
      <c r="G54" s="32" t="n"/>
      <c r="H54" s="34" t="n"/>
      <c r="I54" s="32" t="n"/>
      <c r="J54" s="35">
        <f>IF(A54="","",IF(AND(ISNUMBER(E54),ISNUMBER(H54),H54&lt;E54),"Verificar: próxima revisão anterior à data",IF(AND(G54&lt;&gt;"",I54&lt;&gt;"Aprovado"),"Verificar: aprovador sem situação Aprovado",IF(AND(I54="Aprovado",G54=""),"Verificar: Aprovado sem aprovador","OK"))))</f>
        <v/>
      </c>
      <c r="K54" s="32" t="n"/>
    </row>
    <row r="55">
      <c r="A55" s="32" t="n"/>
      <c r="B55" s="33" t="n"/>
      <c r="C55" s="32" t="n"/>
      <c r="D55" s="32" t="n"/>
      <c r="E55" s="34" t="n"/>
      <c r="F55" s="32" t="n"/>
      <c r="G55" s="32" t="n"/>
      <c r="H55" s="34" t="n"/>
      <c r="I55" s="32" t="n"/>
      <c r="J55" s="35">
        <f>IF(A55="","",IF(AND(ISNUMBER(E55),ISNUMBER(H55),H55&lt;E55),"Verificar: próxima revisão anterior à data",IF(AND(G55&lt;&gt;"",I55&lt;&gt;"Aprovado"),"Verificar: aprovador sem situação Aprovado",IF(AND(I55="Aprovado",G55=""),"Verificar: Aprovado sem aprovador","OK"))))</f>
        <v/>
      </c>
      <c r="K55" s="32" t="n"/>
    </row>
    <row r="56">
      <c r="A56" s="32" t="n"/>
      <c r="B56" s="33" t="n"/>
      <c r="C56" s="32" t="n"/>
      <c r="D56" s="32" t="n"/>
      <c r="E56" s="34" t="n"/>
      <c r="F56" s="32" t="n"/>
      <c r="G56" s="32" t="n"/>
      <c r="H56" s="34" t="n"/>
      <c r="I56" s="32" t="n"/>
      <c r="J56" s="35">
        <f>IF(A56="","",IF(AND(ISNUMBER(E56),ISNUMBER(H56),H56&lt;E56),"Verificar: próxima revisão anterior à data",IF(AND(G56&lt;&gt;"",I56&lt;&gt;"Aprovado"),"Verificar: aprovador sem situação Aprovado",IF(AND(I56="Aprovado",G56=""),"Verificar: Aprovado sem aprovador","OK"))))</f>
        <v/>
      </c>
      <c r="K56" s="32" t="n"/>
    </row>
  </sheetData>
  <autoFilter ref="A6:K56"/>
  <mergeCells count="5">
    <mergeCell ref="A4:H4"/>
    <mergeCell ref="B1:K1"/>
    <mergeCell ref="A3:K3"/>
    <mergeCell ref="A2:K2"/>
    <mergeCell ref="I4:K4"/>
  </mergeCells>
  <conditionalFormatting sqref="I4">
    <cfRule type="expression" priority="1" dxfId="0">
      <formula>LEFT(I4,7)="ATENÇÃO"</formula>
    </cfRule>
  </conditionalFormatting>
  <conditionalFormatting sqref="J7:J56">
    <cfRule type="expression" priority="2" dxfId="0" stopIfTrue="1">
      <formula>LEFT(J7,4)="ERRO"</formula>
    </cfRule>
    <cfRule type="expression" priority="3" dxfId="1" stopIfTrue="1">
      <formula>OR(LEFT(J7,8)="Pendente",LEFT(J7,9)="Verificar",LEFT(J7,9)="Duplicada",LEFT(J7,7)="Tarefa ",LEFT(J7,13)="Fora do plano",LEFT(J7,8)="Previsão",LEFT(J7,11)="Sem vínculo",LEFT(J7,14)="Não verificado",LEFT(J7,13)="Não informado",LEFT(J7,7)="Informe")</formula>
    </cfRule>
    <cfRule type="expression" priority="4" dxfId="2" stopIfTrue="1">
      <formula>OR(LEFT(J7,2)="OK",LEFT(J7,10)="Verificado",J7="Vinculada",J7="No plano atual",J7="Informado")</formula>
    </cfRule>
    <cfRule type="expression" priority="5" dxfId="3">
      <formula>$A7&lt;&gt;""</formula>
    </cfRule>
  </conditionalFormatting>
  <conditionalFormatting sqref="A7:K56">
    <cfRule type="expression" priority="6" dxfId="4">
      <formula>AND($A7&lt;&gt;"",MOD(ROW(),2)=0)</formula>
    </cfRule>
  </conditionalFormatting>
  <dataValidations count="4">
    <dataValidation sqref="C7:C56" showDropDown="0" showInputMessage="1" showErrorMessage="1" allowBlank="1" errorTitle="Valor não aceito" error="Escolha um tipo da aba Listas." promptTitle="Tipo" prompt="Tipo do documento." type="list">
      <formula1>=lst_tipo_documento</formula1>
    </dataValidation>
    <dataValidation sqref="E7:E56" showDropDown="0" showInputMessage="1" showErrorMessage="1" allowBlank="1" errorTitle="Valor não aceito" error="Informe uma data válida (dd/mm/aaaa)." promptTitle="Data da revisão (dd/mm/aaaa)" prompt="Data real do Excel, exibida em dd/mm/aaaa." type="date" operator="between">
      <formula1>1</formula1>
      <formula2>2958465</formula2>
    </dataValidation>
    <dataValidation sqref="H7:H56" showDropDown="0" showInputMessage="1" showErrorMessage="1" allowBlank="1" errorTitle="Valor não aceito" error="Informe uma data válida (dd/mm/aaaa)." promptTitle="Próxima revisão (dd/mm/aaaa)" prompt="Data real do Excel, exibida em dd/mm/aaaa." type="date" operator="between">
      <formula1>1</formula1>
      <formula2>2958465</formula2>
    </dataValidation>
    <dataValidation sqref="I7:I56" showDropDown="0" showInputMessage="1" showErrorMessage="1" allowBlank="1" errorTitle="Valor não aceito" error="Escolha uma situação da aba Listas." promptTitle="Situação" prompt="Situação do documento." type="list">
      <formula1>=lst_situacao_documento</formula1>
    </dataValidation>
  </dataValidations>
  <pageMargins left="0.45" right="0.45" top="0.7" bottom="0.85" header="0.3" footer="0.3"/>
  <pageSetup orientation="landscape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2" customWidth="1" min="3" max="3"/>
    <col width="46" customWidth="1" min="4" max="4"/>
    <col width="18" customWidth="1" min="5" max="5"/>
  </cols>
  <sheetData>
    <row r="1" ht="32" customHeight="1">
      <c r="A1" s="12" t="inlineStr">
        <is>
          <t>PCMD-01</t>
        </is>
      </c>
      <c r="B1" s="24" t="inlineStr">
        <is>
          <t>Histórico de revisões</t>
        </is>
      </c>
      <c r="C1" s="3" t="n"/>
      <c r="D1" s="3" t="n"/>
      <c r="E1" s="3" t="n"/>
    </row>
    <row r="2" ht="20" customHeight="1">
      <c r="A2" s="25" t="inlineStr">
        <is>
          <t>Uma linha por revisão documental: documento, revisão, data, mudança e responsável.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  <c r="E4" s="27">
        <f>IF(COUNTA(A107:A2106)&gt;0,"ATENÇÃO: dados além da linha 106","Linhas: "&amp;COUNTA(A7:A106)&amp;" de 100")</f>
        <v/>
      </c>
    </row>
    <row r="5" ht="14" customHeight="1">
      <c r="A5" s="28" t="inlineStr">
        <is>
          <t>PREENCHER</t>
        </is>
      </c>
      <c r="B5" s="28" t="inlineStr">
        <is>
          <t>PREENCHER</t>
        </is>
      </c>
      <c r="C5" s="28" t="inlineStr">
        <is>
          <t>PREENCHER</t>
        </is>
      </c>
      <c r="D5" s="28" t="inlineStr">
        <is>
          <t>PREENCHER</t>
        </is>
      </c>
      <c r="E5" s="28" t="inlineStr">
        <is>
          <t>PREENCHER</t>
        </is>
      </c>
    </row>
    <row r="6" ht="32.09999999999999" customHeight="1">
      <c r="A6" s="30" t="inlineStr">
        <is>
          <t>Documento (código)</t>
        </is>
      </c>
      <c r="B6" s="30" t="inlineStr">
        <is>
          <t>Revisão</t>
        </is>
      </c>
      <c r="C6" s="30" t="inlineStr">
        <is>
          <t>Data (dd/mm/aaaa)</t>
        </is>
      </c>
      <c r="D6" s="30" t="inlineStr">
        <is>
          <t>Descrição da mudança</t>
        </is>
      </c>
      <c r="E6" s="30" t="inlineStr">
        <is>
          <t>Responsável (nome)</t>
        </is>
      </c>
    </row>
    <row r="7">
      <c r="A7" s="32" t="n"/>
      <c r="B7" s="32" t="n"/>
      <c r="C7" s="34" t="n"/>
      <c r="D7" s="33" t="n"/>
      <c r="E7" s="32" t="n"/>
    </row>
    <row r="8">
      <c r="A8" s="32" t="n"/>
      <c r="B8" s="32" t="n"/>
      <c r="C8" s="34" t="n"/>
      <c r="D8" s="33" t="n"/>
      <c r="E8" s="32" t="n"/>
    </row>
    <row r="9">
      <c r="A9" s="32" t="n"/>
      <c r="B9" s="32" t="n"/>
      <c r="C9" s="34" t="n"/>
      <c r="D9" s="33" t="n"/>
      <c r="E9" s="32" t="n"/>
    </row>
    <row r="10">
      <c r="A10" s="32" t="n"/>
      <c r="B10" s="32" t="n"/>
      <c r="C10" s="34" t="n"/>
      <c r="D10" s="33" t="n"/>
      <c r="E10" s="32" t="n"/>
    </row>
    <row r="11">
      <c r="A11" s="32" t="n"/>
      <c r="B11" s="32" t="n"/>
      <c r="C11" s="34" t="n"/>
      <c r="D11" s="33" t="n"/>
      <c r="E11" s="32" t="n"/>
    </row>
    <row r="12">
      <c r="A12" s="32" t="n"/>
      <c r="B12" s="32" t="n"/>
      <c r="C12" s="34" t="n"/>
      <c r="D12" s="33" t="n"/>
      <c r="E12" s="32" t="n"/>
    </row>
    <row r="13">
      <c r="A13" s="32" t="n"/>
      <c r="B13" s="32" t="n"/>
      <c r="C13" s="34" t="n"/>
      <c r="D13" s="33" t="n"/>
      <c r="E13" s="32" t="n"/>
    </row>
    <row r="14">
      <c r="A14" s="32" t="n"/>
      <c r="B14" s="32" t="n"/>
      <c r="C14" s="34" t="n"/>
      <c r="D14" s="33" t="n"/>
      <c r="E14" s="32" t="n"/>
    </row>
    <row r="15">
      <c r="A15" s="32" t="n"/>
      <c r="B15" s="32" t="n"/>
      <c r="C15" s="34" t="n"/>
      <c r="D15" s="33" t="n"/>
      <c r="E15" s="32" t="n"/>
    </row>
    <row r="16">
      <c r="A16" s="32" t="n"/>
      <c r="B16" s="32" t="n"/>
      <c r="C16" s="34" t="n"/>
      <c r="D16" s="33" t="n"/>
      <c r="E16" s="32" t="n"/>
    </row>
    <row r="17">
      <c r="A17" s="32" t="n"/>
      <c r="B17" s="32" t="n"/>
      <c r="C17" s="34" t="n"/>
      <c r="D17" s="33" t="n"/>
      <c r="E17" s="32" t="n"/>
    </row>
    <row r="18">
      <c r="A18" s="32" t="n"/>
      <c r="B18" s="32" t="n"/>
      <c r="C18" s="34" t="n"/>
      <c r="D18" s="33" t="n"/>
      <c r="E18" s="32" t="n"/>
    </row>
    <row r="19">
      <c r="A19" s="32" t="n"/>
      <c r="B19" s="32" t="n"/>
      <c r="C19" s="34" t="n"/>
      <c r="D19" s="33" t="n"/>
      <c r="E19" s="32" t="n"/>
    </row>
    <row r="20">
      <c r="A20" s="32" t="n"/>
      <c r="B20" s="32" t="n"/>
      <c r="C20" s="34" t="n"/>
      <c r="D20" s="33" t="n"/>
      <c r="E20" s="32" t="n"/>
    </row>
    <row r="21">
      <c r="A21" s="32" t="n"/>
      <c r="B21" s="32" t="n"/>
      <c r="C21" s="34" t="n"/>
      <c r="D21" s="33" t="n"/>
      <c r="E21" s="32" t="n"/>
    </row>
    <row r="22">
      <c r="A22" s="32" t="n"/>
      <c r="B22" s="32" t="n"/>
      <c r="C22" s="34" t="n"/>
      <c r="D22" s="33" t="n"/>
      <c r="E22" s="32" t="n"/>
    </row>
    <row r="23">
      <c r="A23" s="32" t="n"/>
      <c r="B23" s="32" t="n"/>
      <c r="C23" s="34" t="n"/>
      <c r="D23" s="33" t="n"/>
      <c r="E23" s="32" t="n"/>
    </row>
    <row r="24">
      <c r="A24" s="32" t="n"/>
      <c r="B24" s="32" t="n"/>
      <c r="C24" s="34" t="n"/>
      <c r="D24" s="33" t="n"/>
      <c r="E24" s="32" t="n"/>
    </row>
    <row r="25">
      <c r="A25" s="32" t="n"/>
      <c r="B25" s="32" t="n"/>
      <c r="C25" s="34" t="n"/>
      <c r="D25" s="33" t="n"/>
      <c r="E25" s="32" t="n"/>
    </row>
    <row r="26">
      <c r="A26" s="32" t="n"/>
      <c r="B26" s="32" t="n"/>
      <c r="C26" s="34" t="n"/>
      <c r="D26" s="33" t="n"/>
      <c r="E26" s="32" t="n"/>
    </row>
    <row r="27">
      <c r="A27" s="32" t="n"/>
      <c r="B27" s="32" t="n"/>
      <c r="C27" s="34" t="n"/>
      <c r="D27" s="33" t="n"/>
      <c r="E27" s="32" t="n"/>
    </row>
    <row r="28">
      <c r="A28" s="32" t="n"/>
      <c r="B28" s="32" t="n"/>
      <c r="C28" s="34" t="n"/>
      <c r="D28" s="33" t="n"/>
      <c r="E28" s="32" t="n"/>
    </row>
    <row r="29">
      <c r="A29" s="32" t="n"/>
      <c r="B29" s="32" t="n"/>
      <c r="C29" s="34" t="n"/>
      <c r="D29" s="33" t="n"/>
      <c r="E29" s="32" t="n"/>
    </row>
    <row r="30">
      <c r="A30" s="32" t="n"/>
      <c r="B30" s="32" t="n"/>
      <c r="C30" s="34" t="n"/>
      <c r="D30" s="33" t="n"/>
      <c r="E30" s="32" t="n"/>
    </row>
    <row r="31">
      <c r="A31" s="32" t="n"/>
      <c r="B31" s="32" t="n"/>
      <c r="C31" s="34" t="n"/>
      <c r="D31" s="33" t="n"/>
      <c r="E31" s="32" t="n"/>
    </row>
    <row r="32">
      <c r="A32" s="32" t="n"/>
      <c r="B32" s="32" t="n"/>
      <c r="C32" s="34" t="n"/>
      <c r="D32" s="33" t="n"/>
      <c r="E32" s="32" t="n"/>
    </row>
    <row r="33">
      <c r="A33" s="32" t="n"/>
      <c r="B33" s="32" t="n"/>
      <c r="C33" s="34" t="n"/>
      <c r="D33" s="33" t="n"/>
      <c r="E33" s="32" t="n"/>
    </row>
    <row r="34">
      <c r="A34" s="32" t="n"/>
      <c r="B34" s="32" t="n"/>
      <c r="C34" s="34" t="n"/>
      <c r="D34" s="33" t="n"/>
      <c r="E34" s="32" t="n"/>
    </row>
    <row r="35">
      <c r="A35" s="32" t="n"/>
      <c r="B35" s="32" t="n"/>
      <c r="C35" s="34" t="n"/>
      <c r="D35" s="33" t="n"/>
      <c r="E35" s="32" t="n"/>
    </row>
    <row r="36">
      <c r="A36" s="32" t="n"/>
      <c r="B36" s="32" t="n"/>
      <c r="C36" s="34" t="n"/>
      <c r="D36" s="33" t="n"/>
      <c r="E36" s="32" t="n"/>
    </row>
    <row r="37">
      <c r="A37" s="32" t="n"/>
      <c r="B37" s="32" t="n"/>
      <c r="C37" s="34" t="n"/>
      <c r="D37" s="33" t="n"/>
      <c r="E37" s="32" t="n"/>
    </row>
    <row r="38">
      <c r="A38" s="32" t="n"/>
      <c r="B38" s="32" t="n"/>
      <c r="C38" s="34" t="n"/>
      <c r="D38" s="33" t="n"/>
      <c r="E38" s="32" t="n"/>
    </row>
    <row r="39">
      <c r="A39" s="32" t="n"/>
      <c r="B39" s="32" t="n"/>
      <c r="C39" s="34" t="n"/>
      <c r="D39" s="33" t="n"/>
      <c r="E39" s="32" t="n"/>
    </row>
    <row r="40">
      <c r="A40" s="32" t="n"/>
      <c r="B40" s="32" t="n"/>
      <c r="C40" s="34" t="n"/>
      <c r="D40" s="33" t="n"/>
      <c r="E40" s="32" t="n"/>
    </row>
    <row r="41">
      <c r="A41" s="32" t="n"/>
      <c r="B41" s="32" t="n"/>
      <c r="C41" s="34" t="n"/>
      <c r="D41" s="33" t="n"/>
      <c r="E41" s="32" t="n"/>
    </row>
    <row r="42">
      <c r="A42" s="32" t="n"/>
      <c r="B42" s="32" t="n"/>
      <c r="C42" s="34" t="n"/>
      <c r="D42" s="33" t="n"/>
      <c r="E42" s="32" t="n"/>
    </row>
    <row r="43">
      <c r="A43" s="32" t="n"/>
      <c r="B43" s="32" t="n"/>
      <c r="C43" s="34" t="n"/>
      <c r="D43" s="33" t="n"/>
      <c r="E43" s="32" t="n"/>
    </row>
    <row r="44">
      <c r="A44" s="32" t="n"/>
      <c r="B44" s="32" t="n"/>
      <c r="C44" s="34" t="n"/>
      <c r="D44" s="33" t="n"/>
      <c r="E44" s="32" t="n"/>
    </row>
    <row r="45">
      <c r="A45" s="32" t="n"/>
      <c r="B45" s="32" t="n"/>
      <c r="C45" s="34" t="n"/>
      <c r="D45" s="33" t="n"/>
      <c r="E45" s="32" t="n"/>
    </row>
    <row r="46">
      <c r="A46" s="32" t="n"/>
      <c r="B46" s="32" t="n"/>
      <c r="C46" s="34" t="n"/>
      <c r="D46" s="33" t="n"/>
      <c r="E46" s="32" t="n"/>
    </row>
    <row r="47">
      <c r="A47" s="32" t="n"/>
      <c r="B47" s="32" t="n"/>
      <c r="C47" s="34" t="n"/>
      <c r="D47" s="33" t="n"/>
      <c r="E47" s="32" t="n"/>
    </row>
    <row r="48">
      <c r="A48" s="32" t="n"/>
      <c r="B48" s="32" t="n"/>
      <c r="C48" s="34" t="n"/>
      <c r="D48" s="33" t="n"/>
      <c r="E48" s="32" t="n"/>
    </row>
    <row r="49">
      <c r="A49" s="32" t="n"/>
      <c r="B49" s="32" t="n"/>
      <c r="C49" s="34" t="n"/>
      <c r="D49" s="33" t="n"/>
      <c r="E49" s="32" t="n"/>
    </row>
    <row r="50">
      <c r="A50" s="32" t="n"/>
      <c r="B50" s="32" t="n"/>
      <c r="C50" s="34" t="n"/>
      <c r="D50" s="33" t="n"/>
      <c r="E50" s="32" t="n"/>
    </row>
    <row r="51">
      <c r="A51" s="32" t="n"/>
      <c r="B51" s="32" t="n"/>
      <c r="C51" s="34" t="n"/>
      <c r="D51" s="33" t="n"/>
      <c r="E51" s="32" t="n"/>
    </row>
    <row r="52">
      <c r="A52" s="32" t="n"/>
      <c r="B52" s="32" t="n"/>
      <c r="C52" s="34" t="n"/>
      <c r="D52" s="33" t="n"/>
      <c r="E52" s="32" t="n"/>
    </row>
    <row r="53">
      <c r="A53" s="32" t="n"/>
      <c r="B53" s="32" t="n"/>
      <c r="C53" s="34" t="n"/>
      <c r="D53" s="33" t="n"/>
      <c r="E53" s="32" t="n"/>
    </row>
    <row r="54">
      <c r="A54" s="32" t="n"/>
      <c r="B54" s="32" t="n"/>
      <c r="C54" s="34" t="n"/>
      <c r="D54" s="33" t="n"/>
      <c r="E54" s="32" t="n"/>
    </row>
    <row r="55">
      <c r="A55" s="32" t="n"/>
      <c r="B55" s="32" t="n"/>
      <c r="C55" s="34" t="n"/>
      <c r="D55" s="33" t="n"/>
      <c r="E55" s="32" t="n"/>
    </row>
    <row r="56">
      <c r="A56" s="32" t="n"/>
      <c r="B56" s="32" t="n"/>
      <c r="C56" s="34" t="n"/>
      <c r="D56" s="33" t="n"/>
      <c r="E56" s="32" t="n"/>
    </row>
    <row r="57">
      <c r="A57" s="32" t="n"/>
      <c r="B57" s="32" t="n"/>
      <c r="C57" s="34" t="n"/>
      <c r="D57" s="33" t="n"/>
      <c r="E57" s="32" t="n"/>
    </row>
    <row r="58">
      <c r="A58" s="32" t="n"/>
      <c r="B58" s="32" t="n"/>
      <c r="C58" s="34" t="n"/>
      <c r="D58" s="33" t="n"/>
      <c r="E58" s="32" t="n"/>
    </row>
    <row r="59">
      <c r="A59" s="32" t="n"/>
      <c r="B59" s="32" t="n"/>
      <c r="C59" s="34" t="n"/>
      <c r="D59" s="33" t="n"/>
      <c r="E59" s="32" t="n"/>
    </row>
    <row r="60">
      <c r="A60" s="32" t="n"/>
      <c r="B60" s="32" t="n"/>
      <c r="C60" s="34" t="n"/>
      <c r="D60" s="33" t="n"/>
      <c r="E60" s="32" t="n"/>
    </row>
    <row r="61">
      <c r="A61" s="32" t="n"/>
      <c r="B61" s="32" t="n"/>
      <c r="C61" s="34" t="n"/>
      <c r="D61" s="33" t="n"/>
      <c r="E61" s="32" t="n"/>
    </row>
    <row r="62">
      <c r="A62" s="32" t="n"/>
      <c r="B62" s="32" t="n"/>
      <c r="C62" s="34" t="n"/>
      <c r="D62" s="33" t="n"/>
      <c r="E62" s="32" t="n"/>
    </row>
    <row r="63">
      <c r="A63" s="32" t="n"/>
      <c r="B63" s="32" t="n"/>
      <c r="C63" s="34" t="n"/>
      <c r="D63" s="33" t="n"/>
      <c r="E63" s="32" t="n"/>
    </row>
    <row r="64">
      <c r="A64" s="32" t="n"/>
      <c r="B64" s="32" t="n"/>
      <c r="C64" s="34" t="n"/>
      <c r="D64" s="33" t="n"/>
      <c r="E64" s="32" t="n"/>
    </row>
    <row r="65">
      <c r="A65" s="32" t="n"/>
      <c r="B65" s="32" t="n"/>
      <c r="C65" s="34" t="n"/>
      <c r="D65" s="33" t="n"/>
      <c r="E65" s="32" t="n"/>
    </row>
    <row r="66">
      <c r="A66" s="32" t="n"/>
      <c r="B66" s="32" t="n"/>
      <c r="C66" s="34" t="n"/>
      <c r="D66" s="33" t="n"/>
      <c r="E66" s="32" t="n"/>
    </row>
    <row r="67">
      <c r="A67" s="32" t="n"/>
      <c r="B67" s="32" t="n"/>
      <c r="C67" s="34" t="n"/>
      <c r="D67" s="33" t="n"/>
      <c r="E67" s="32" t="n"/>
    </row>
    <row r="68">
      <c r="A68" s="32" t="n"/>
      <c r="B68" s="32" t="n"/>
      <c r="C68" s="34" t="n"/>
      <c r="D68" s="33" t="n"/>
      <c r="E68" s="32" t="n"/>
    </row>
    <row r="69">
      <c r="A69" s="32" t="n"/>
      <c r="B69" s="32" t="n"/>
      <c r="C69" s="34" t="n"/>
      <c r="D69" s="33" t="n"/>
      <c r="E69" s="32" t="n"/>
    </row>
    <row r="70">
      <c r="A70" s="32" t="n"/>
      <c r="B70" s="32" t="n"/>
      <c r="C70" s="34" t="n"/>
      <c r="D70" s="33" t="n"/>
      <c r="E70" s="32" t="n"/>
    </row>
    <row r="71">
      <c r="A71" s="32" t="n"/>
      <c r="B71" s="32" t="n"/>
      <c r="C71" s="34" t="n"/>
      <c r="D71" s="33" t="n"/>
      <c r="E71" s="32" t="n"/>
    </row>
    <row r="72">
      <c r="A72" s="32" t="n"/>
      <c r="B72" s="32" t="n"/>
      <c r="C72" s="34" t="n"/>
      <c r="D72" s="33" t="n"/>
      <c r="E72" s="32" t="n"/>
    </row>
    <row r="73">
      <c r="A73" s="32" t="n"/>
      <c r="B73" s="32" t="n"/>
      <c r="C73" s="34" t="n"/>
      <c r="D73" s="33" t="n"/>
      <c r="E73" s="32" t="n"/>
    </row>
    <row r="74">
      <c r="A74" s="32" t="n"/>
      <c r="B74" s="32" t="n"/>
      <c r="C74" s="34" t="n"/>
      <c r="D74" s="33" t="n"/>
      <c r="E74" s="32" t="n"/>
    </row>
    <row r="75">
      <c r="A75" s="32" t="n"/>
      <c r="B75" s="32" t="n"/>
      <c r="C75" s="34" t="n"/>
      <c r="D75" s="33" t="n"/>
      <c r="E75" s="32" t="n"/>
    </row>
    <row r="76">
      <c r="A76" s="32" t="n"/>
      <c r="B76" s="32" t="n"/>
      <c r="C76" s="34" t="n"/>
      <c r="D76" s="33" t="n"/>
      <c r="E76" s="32" t="n"/>
    </row>
    <row r="77">
      <c r="A77" s="32" t="n"/>
      <c r="B77" s="32" t="n"/>
      <c r="C77" s="34" t="n"/>
      <c r="D77" s="33" t="n"/>
      <c r="E77" s="32" t="n"/>
    </row>
    <row r="78">
      <c r="A78" s="32" t="n"/>
      <c r="B78" s="32" t="n"/>
      <c r="C78" s="34" t="n"/>
      <c r="D78" s="33" t="n"/>
      <c r="E78" s="32" t="n"/>
    </row>
    <row r="79">
      <c r="A79" s="32" t="n"/>
      <c r="B79" s="32" t="n"/>
      <c r="C79" s="34" t="n"/>
      <c r="D79" s="33" t="n"/>
      <c r="E79" s="32" t="n"/>
    </row>
    <row r="80">
      <c r="A80" s="32" t="n"/>
      <c r="B80" s="32" t="n"/>
      <c r="C80" s="34" t="n"/>
      <c r="D80" s="33" t="n"/>
      <c r="E80" s="32" t="n"/>
    </row>
    <row r="81">
      <c r="A81" s="32" t="n"/>
      <c r="B81" s="32" t="n"/>
      <c r="C81" s="34" t="n"/>
      <c r="D81" s="33" t="n"/>
      <c r="E81" s="32" t="n"/>
    </row>
    <row r="82">
      <c r="A82" s="32" t="n"/>
      <c r="B82" s="32" t="n"/>
      <c r="C82" s="34" t="n"/>
      <c r="D82" s="33" t="n"/>
      <c r="E82" s="32" t="n"/>
    </row>
    <row r="83">
      <c r="A83" s="32" t="n"/>
      <c r="B83" s="32" t="n"/>
      <c r="C83" s="34" t="n"/>
      <c r="D83" s="33" t="n"/>
      <c r="E83" s="32" t="n"/>
    </row>
    <row r="84">
      <c r="A84" s="32" t="n"/>
      <c r="B84" s="32" t="n"/>
      <c r="C84" s="34" t="n"/>
      <c r="D84" s="33" t="n"/>
      <c r="E84" s="32" t="n"/>
    </row>
    <row r="85">
      <c r="A85" s="32" t="n"/>
      <c r="B85" s="32" t="n"/>
      <c r="C85" s="34" t="n"/>
      <c r="D85" s="33" t="n"/>
      <c r="E85" s="32" t="n"/>
    </row>
    <row r="86">
      <c r="A86" s="32" t="n"/>
      <c r="B86" s="32" t="n"/>
      <c r="C86" s="34" t="n"/>
      <c r="D86" s="33" t="n"/>
      <c r="E86" s="32" t="n"/>
    </row>
    <row r="87">
      <c r="A87" s="32" t="n"/>
      <c r="B87" s="32" t="n"/>
      <c r="C87" s="34" t="n"/>
      <c r="D87" s="33" t="n"/>
      <c r="E87" s="32" t="n"/>
    </row>
    <row r="88">
      <c r="A88" s="32" t="n"/>
      <c r="B88" s="32" t="n"/>
      <c r="C88" s="34" t="n"/>
      <c r="D88" s="33" t="n"/>
      <c r="E88" s="32" t="n"/>
    </row>
    <row r="89">
      <c r="A89" s="32" t="n"/>
      <c r="B89" s="32" t="n"/>
      <c r="C89" s="34" t="n"/>
      <c r="D89" s="33" t="n"/>
      <c r="E89" s="32" t="n"/>
    </row>
    <row r="90">
      <c r="A90" s="32" t="n"/>
      <c r="B90" s="32" t="n"/>
      <c r="C90" s="34" t="n"/>
      <c r="D90" s="33" t="n"/>
      <c r="E90" s="32" t="n"/>
    </row>
    <row r="91">
      <c r="A91" s="32" t="n"/>
      <c r="B91" s="32" t="n"/>
      <c r="C91" s="34" t="n"/>
      <c r="D91" s="33" t="n"/>
      <c r="E91" s="32" t="n"/>
    </row>
    <row r="92">
      <c r="A92" s="32" t="n"/>
      <c r="B92" s="32" t="n"/>
      <c r="C92" s="34" t="n"/>
      <c r="D92" s="33" t="n"/>
      <c r="E92" s="32" t="n"/>
    </row>
    <row r="93">
      <c r="A93" s="32" t="n"/>
      <c r="B93" s="32" t="n"/>
      <c r="C93" s="34" t="n"/>
      <c r="D93" s="33" t="n"/>
      <c r="E93" s="32" t="n"/>
    </row>
    <row r="94">
      <c r="A94" s="32" t="n"/>
      <c r="B94" s="32" t="n"/>
      <c r="C94" s="34" t="n"/>
      <c r="D94" s="33" t="n"/>
      <c r="E94" s="32" t="n"/>
    </row>
    <row r="95">
      <c r="A95" s="32" t="n"/>
      <c r="B95" s="32" t="n"/>
      <c r="C95" s="34" t="n"/>
      <c r="D95" s="33" t="n"/>
      <c r="E95" s="32" t="n"/>
    </row>
    <row r="96">
      <c r="A96" s="32" t="n"/>
      <c r="B96" s="32" t="n"/>
      <c r="C96" s="34" t="n"/>
      <c r="D96" s="33" t="n"/>
      <c r="E96" s="32" t="n"/>
    </row>
    <row r="97">
      <c r="A97" s="32" t="n"/>
      <c r="B97" s="32" t="n"/>
      <c r="C97" s="34" t="n"/>
      <c r="D97" s="33" t="n"/>
      <c r="E97" s="32" t="n"/>
    </row>
    <row r="98">
      <c r="A98" s="32" t="n"/>
      <c r="B98" s="32" t="n"/>
      <c r="C98" s="34" t="n"/>
      <c r="D98" s="33" t="n"/>
      <c r="E98" s="32" t="n"/>
    </row>
    <row r="99">
      <c r="A99" s="32" t="n"/>
      <c r="B99" s="32" t="n"/>
      <c r="C99" s="34" t="n"/>
      <c r="D99" s="33" t="n"/>
      <c r="E99" s="32" t="n"/>
    </row>
    <row r="100">
      <c r="A100" s="32" t="n"/>
      <c r="B100" s="32" t="n"/>
      <c r="C100" s="34" t="n"/>
      <c r="D100" s="33" t="n"/>
      <c r="E100" s="32" t="n"/>
    </row>
    <row r="101">
      <c r="A101" s="32" t="n"/>
      <c r="B101" s="32" t="n"/>
      <c r="C101" s="34" t="n"/>
      <c r="D101" s="33" t="n"/>
      <c r="E101" s="32" t="n"/>
    </row>
    <row r="102">
      <c r="A102" s="32" t="n"/>
      <c r="B102" s="32" t="n"/>
      <c r="C102" s="34" t="n"/>
      <c r="D102" s="33" t="n"/>
      <c r="E102" s="32" t="n"/>
    </row>
    <row r="103">
      <c r="A103" s="32" t="n"/>
      <c r="B103" s="32" t="n"/>
      <c r="C103" s="34" t="n"/>
      <c r="D103" s="33" t="n"/>
      <c r="E103" s="32" t="n"/>
    </row>
    <row r="104">
      <c r="A104" s="32" t="n"/>
      <c r="B104" s="32" t="n"/>
      <c r="C104" s="34" t="n"/>
      <c r="D104" s="33" t="n"/>
      <c r="E104" s="32" t="n"/>
    </row>
    <row r="105">
      <c r="A105" s="32" t="n"/>
      <c r="B105" s="32" t="n"/>
      <c r="C105" s="34" t="n"/>
      <c r="D105" s="33" t="n"/>
      <c r="E105" s="32" t="n"/>
    </row>
    <row r="106">
      <c r="A106" s="32" t="n"/>
      <c r="B106" s="32" t="n"/>
      <c r="C106" s="34" t="n"/>
      <c r="D106" s="33" t="n"/>
      <c r="E106" s="32" t="n"/>
    </row>
  </sheetData>
  <autoFilter ref="A6:E106"/>
  <mergeCells count="4">
    <mergeCell ref="A2:E2"/>
    <mergeCell ref="A4:D4"/>
    <mergeCell ref="B1:E1"/>
    <mergeCell ref="A3:E3"/>
  </mergeCells>
  <conditionalFormatting sqref="E4">
    <cfRule type="expression" priority="1" dxfId="0">
      <formula>LEFT(E4,7)="ATENÇÃO"</formula>
    </cfRule>
  </conditionalFormatting>
  <conditionalFormatting sqref="A7:E106">
    <cfRule type="expression" priority="2" dxfId="4">
      <formula>AND($A7&lt;&gt;"",MOD(ROW(),2)=0)</formula>
    </cfRule>
  </conditionalFormatting>
  <dataValidations count="1">
    <dataValidation sqref="C7:C106" showDropDown="0" showInputMessage="1" showErrorMessage="1" allowBlank="1" errorTitle="Valor não aceito" error="Informe uma data válida (dd/mm/aaaa)." promptTitle="Data (dd/mm/aaaa)" prompt="Data real do Excel, exibida em dd/mm/aaaa." type="date" operator="between">
      <formula1>1</formula1>
      <formula2>2958465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  <col width="26" customWidth="1" min="3" max="3"/>
    <col width="32" customWidth="1" min="4" max="4"/>
  </cols>
  <sheetData>
    <row r="1" ht="32" customHeight="1">
      <c r="A1" s="12" t="inlineStr">
        <is>
          <t>PCMD-01</t>
        </is>
      </c>
      <c r="B1" s="24" t="inlineStr">
        <is>
          <t>Organização</t>
        </is>
      </c>
      <c r="C1" s="3" t="n"/>
      <c r="D1" s="3" t="n"/>
    </row>
    <row r="2" ht="20" customHeight="1">
      <c r="A2" s="25" t="inlineStr">
        <is>
          <t>Preencha uma vez. Elaborador e aprovador usam o ID da aba Pessoas; a meta vazia fica A definir.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6" ht="30" customHeight="1">
      <c r="A6" s="30" t="inlineStr">
        <is>
          <t>Campo</t>
        </is>
      </c>
      <c r="B6" s="30" t="inlineStr">
        <is>
          <t>Valor</t>
        </is>
      </c>
      <c r="C6" s="31" t="inlineStr">
        <is>
          <t>Resultado</t>
        </is>
      </c>
      <c r="D6" s="30" t="inlineStr">
        <is>
          <t>Observação</t>
        </is>
      </c>
    </row>
    <row r="7" ht="22" customHeight="1">
      <c r="A7" s="20" t="inlineStr">
        <is>
          <t>Nome da organização</t>
        </is>
      </c>
      <c r="B7" s="21" t="n"/>
      <c r="C7" s="36" t="n"/>
      <c r="D7" s="37" t="inlineStr">
        <is>
          <t>Ex.: Indústria Exemplo.</t>
        </is>
      </c>
    </row>
    <row r="8" ht="22" customHeight="1">
      <c r="A8" s="20" t="inlineStr">
        <is>
          <t>Referencial</t>
        </is>
      </c>
      <c r="B8" s="21" t="inlineStr">
        <is>
          <t>GERAL (sem norma)</t>
        </is>
      </c>
      <c r="C8" s="36" t="n"/>
      <c r="D8" s="37" t="inlineStr">
        <is>
          <t>Padrão GERAL (sem norma). Não cite norma sem fonte oficial, versão e data.</t>
        </is>
      </c>
    </row>
    <row r="9" ht="22" customHeight="1">
      <c r="A9" s="20" t="inlineStr">
        <is>
          <t>Prefixo dos documentos</t>
        </is>
      </c>
      <c r="B9" s="21" t="inlineStr">
        <is>
          <t>PCMD</t>
        </is>
      </c>
      <c r="C9" s="36" t="n"/>
      <c r="D9" s="37" t="inlineStr">
        <is>
          <t>Padrão PCMD.</t>
        </is>
      </c>
    </row>
    <row r="10" ht="22" customHeight="1">
      <c r="A10" s="20" t="inlineStr">
        <is>
          <t>Elaborador padrão (ID)</t>
        </is>
      </c>
      <c r="B10" s="21" t="n"/>
      <c r="C10" s="36">
        <f>IF(B10="","",IFERROR(INDEX(cad_pessoa_nome,MATCH(B10,cad_pessoa_id,0)),"Pessoa não cadastrada"))</f>
        <v/>
      </c>
      <c r="D10" s="37" t="inlineStr">
        <is>
          <t>ID da aba Pessoas.</t>
        </is>
      </c>
    </row>
    <row r="11" ht="22" customHeight="1">
      <c r="A11" s="20" t="inlineStr">
        <is>
          <t>Aprovador padrão (ID)</t>
        </is>
      </c>
      <c r="B11" s="21" t="n"/>
      <c r="C11" s="36">
        <f>IF(B11="","A definir (aprovação não registrada)",IFERROR(INDEX(cad_pessoa_nome,MATCH(B11,cad_pessoa_id,0)),"Pessoa não cadastrada"))</f>
        <v/>
      </c>
      <c r="D11" s="37" t="inlineStr">
        <is>
          <t>Só informe após aprovação efetiva.</t>
        </is>
      </c>
    </row>
    <row r="12" ht="22" customHeight="1">
      <c r="A12" s="20" t="inlineStr">
        <is>
          <t>Meta de disponibilidade (%)</t>
        </is>
      </c>
      <c r="B12" s="38" t="n"/>
      <c r="C12" s="39">
        <f>IF(B12="","A definir",B12)</f>
        <v/>
      </c>
      <c r="D12" s="37" t="inlineStr">
        <is>
          <t>Disponibilidade, MTBF e MTTR não são calculados: regras técnicas pendentes.</t>
        </is>
      </c>
    </row>
  </sheetData>
  <mergeCells count="4">
    <mergeCell ref="B1:D1"/>
    <mergeCell ref="A4:D4"/>
    <mergeCell ref="A3:D3"/>
    <mergeCell ref="A2:D2"/>
  </mergeCells>
  <dataValidations count="3">
    <dataValidation sqref="B10" showDropDown="0" showInputMessage="0" showErrorMessage="1" allowBlank="1" errorTitle="Valor não aceito" error="Use um ID da aba Pessoas." type="list">
      <formula1>=cad_pessoa_id</formula1>
    </dataValidation>
    <dataValidation sqref="B11" showDropDown="0" showInputMessage="0" showErrorMessage="1" allowBlank="1" errorTitle="Valor não aceito" error="Use um ID da aba Pessoas." type="list">
      <formula1>=cad_pessoa_id</formula1>
    </dataValidation>
    <dataValidation sqref="B12" showDropDown="0" showInputMessage="0" showErrorMessage="1" allowBlank="1" errorTitle="Meta não aceita" error="Informe um percentual entre 0% e 100%. Vazio = A definir." type="decimal" operator="between">
      <formula1>0</formula1>
      <formula2>1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4" customWidth="1" min="4" max="4"/>
    <col width="8" customWidth="1" min="5" max="5"/>
    <col width="18" customWidth="1" min="6" max="6"/>
  </cols>
  <sheetData>
    <row r="1" ht="32" customHeight="1">
      <c r="A1" s="12" t="inlineStr">
        <is>
          <t>PCMD-01</t>
        </is>
      </c>
      <c r="B1" s="24" t="inlineStr">
        <is>
          <t>Pessoas e funções</t>
        </is>
      </c>
      <c r="C1" s="3" t="n"/>
      <c r="D1" s="3" t="n"/>
      <c r="E1" s="3" t="n"/>
      <c r="F1" s="3" t="n"/>
    </row>
    <row r="2" ht="20" customHeight="1">
      <c r="A2" s="25" t="inlineStr">
        <is>
          <t>Dado pessoal mínimo, só neste arquivo local. Pessoa inativa continua nos registros anteriores.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  <c r="E4" s="27">
        <f>IF(COUNTA(A67:A2066)&gt;0,"ATENÇÃO: dados além da linha 66","Linhas: "&amp;COUNTA(A7:A66)&amp;" de 60"&amp;IF(COUNTIF(F7:F66,"ERRO*")&gt;0,"   ·   "&amp;COUNTIF(F7:F66,"ERRO*")&amp;" com ERRO",""))</f>
        <v/>
      </c>
    </row>
    <row r="5" ht="14" customHeight="1">
      <c r="A5" s="28" t="inlineStr">
        <is>
          <t>ID</t>
        </is>
      </c>
      <c r="B5" s="28" t="inlineStr">
        <is>
          <t>PREENCHER</t>
        </is>
      </c>
      <c r="C5" s="28" t="inlineStr">
        <is>
          <t>PREENCHER</t>
        </is>
      </c>
      <c r="D5" s="28" t="inlineStr">
        <is>
          <t>PREENCHER</t>
        </is>
      </c>
      <c r="E5" s="28" t="inlineStr">
        <is>
          <t>PREENCHER</t>
        </is>
      </c>
      <c r="F5" s="29" t="inlineStr">
        <is>
          <t>AUTOMÁTICO</t>
        </is>
      </c>
    </row>
    <row r="6" ht="30" customHeight="1">
      <c r="A6" s="30" t="inlineStr">
        <is>
          <t>ID da pessoa</t>
        </is>
      </c>
      <c r="B6" s="30" t="inlineStr">
        <is>
          <t>Nome</t>
        </is>
      </c>
      <c r="C6" s="30" t="inlineStr">
        <is>
          <t>Função</t>
        </is>
      </c>
      <c r="D6" s="30" t="inlineStr">
        <is>
          <t>Especialidade</t>
        </is>
      </c>
      <c r="E6" s="30" t="inlineStr">
        <is>
          <t>Ativa</t>
        </is>
      </c>
      <c r="F6" s="31" t="inlineStr">
        <is>
          <t>Conferência</t>
        </is>
      </c>
    </row>
    <row r="7">
      <c r="A7" s="32" t="n"/>
      <c r="B7" s="32" t="n"/>
      <c r="C7" s="32" t="n"/>
      <c r="D7" s="32" t="n"/>
      <c r="E7" s="32" t="n"/>
      <c r="F7" s="40">
        <f>IF(A7&amp;B7="","",IF(A7="","ERRO: falta ID",IF(COUNTIF(cad_pessoa_id,A7)&gt;1,"ERRO: ID repetido",IF(B7="","ERRO: falta nome","OK"))))</f>
        <v/>
      </c>
    </row>
    <row r="8">
      <c r="A8" s="32" t="n"/>
      <c r="B8" s="32" t="n"/>
      <c r="C8" s="32" t="n"/>
      <c r="D8" s="32" t="n"/>
      <c r="E8" s="32" t="n"/>
      <c r="F8" s="40">
        <f>IF(A8&amp;B8="","",IF(A8="","ERRO: falta ID",IF(COUNTIF(cad_pessoa_id,A8)&gt;1,"ERRO: ID repetido",IF(B8="","ERRO: falta nome","OK"))))</f>
        <v/>
      </c>
    </row>
    <row r="9">
      <c r="A9" s="32" t="n"/>
      <c r="B9" s="32" t="n"/>
      <c r="C9" s="32" t="n"/>
      <c r="D9" s="32" t="n"/>
      <c r="E9" s="32" t="n"/>
      <c r="F9" s="40">
        <f>IF(A9&amp;B9="","",IF(A9="","ERRO: falta ID",IF(COUNTIF(cad_pessoa_id,A9)&gt;1,"ERRO: ID repetido",IF(B9="","ERRO: falta nome","OK"))))</f>
        <v/>
      </c>
    </row>
    <row r="10">
      <c r="A10" s="32" t="n"/>
      <c r="B10" s="32" t="n"/>
      <c r="C10" s="32" t="n"/>
      <c r="D10" s="32" t="n"/>
      <c r="E10" s="32" t="n"/>
      <c r="F10" s="40">
        <f>IF(A10&amp;B10="","",IF(A10="","ERRO: falta ID",IF(COUNTIF(cad_pessoa_id,A10)&gt;1,"ERRO: ID repetido",IF(B10="","ERRO: falta nome","OK"))))</f>
        <v/>
      </c>
    </row>
    <row r="11">
      <c r="A11" s="32" t="n"/>
      <c r="B11" s="32" t="n"/>
      <c r="C11" s="32" t="n"/>
      <c r="D11" s="32" t="n"/>
      <c r="E11" s="32" t="n"/>
      <c r="F11" s="40">
        <f>IF(A11&amp;B11="","",IF(A11="","ERRO: falta ID",IF(COUNTIF(cad_pessoa_id,A11)&gt;1,"ERRO: ID repetido",IF(B11="","ERRO: falta nome","OK"))))</f>
        <v/>
      </c>
    </row>
    <row r="12">
      <c r="A12" s="32" t="n"/>
      <c r="B12" s="32" t="n"/>
      <c r="C12" s="32" t="n"/>
      <c r="D12" s="32" t="n"/>
      <c r="E12" s="32" t="n"/>
      <c r="F12" s="40">
        <f>IF(A12&amp;B12="","",IF(A12="","ERRO: falta ID",IF(COUNTIF(cad_pessoa_id,A12)&gt;1,"ERRO: ID repetido",IF(B12="","ERRO: falta nome","OK"))))</f>
        <v/>
      </c>
    </row>
    <row r="13">
      <c r="A13" s="32" t="n"/>
      <c r="B13" s="32" t="n"/>
      <c r="C13" s="32" t="n"/>
      <c r="D13" s="32" t="n"/>
      <c r="E13" s="32" t="n"/>
      <c r="F13" s="40">
        <f>IF(A13&amp;B13="","",IF(A13="","ERRO: falta ID",IF(COUNTIF(cad_pessoa_id,A13)&gt;1,"ERRO: ID repetido",IF(B13="","ERRO: falta nome","OK"))))</f>
        <v/>
      </c>
    </row>
    <row r="14">
      <c r="A14" s="32" t="n"/>
      <c r="B14" s="32" t="n"/>
      <c r="C14" s="32" t="n"/>
      <c r="D14" s="32" t="n"/>
      <c r="E14" s="32" t="n"/>
      <c r="F14" s="40">
        <f>IF(A14&amp;B14="","",IF(A14="","ERRO: falta ID",IF(COUNTIF(cad_pessoa_id,A14)&gt;1,"ERRO: ID repetido",IF(B14="","ERRO: falta nome","OK"))))</f>
        <v/>
      </c>
    </row>
    <row r="15">
      <c r="A15" s="32" t="n"/>
      <c r="B15" s="32" t="n"/>
      <c r="C15" s="32" t="n"/>
      <c r="D15" s="32" t="n"/>
      <c r="E15" s="32" t="n"/>
      <c r="F15" s="40">
        <f>IF(A15&amp;B15="","",IF(A15="","ERRO: falta ID",IF(COUNTIF(cad_pessoa_id,A15)&gt;1,"ERRO: ID repetido",IF(B15="","ERRO: falta nome","OK"))))</f>
        <v/>
      </c>
    </row>
    <row r="16">
      <c r="A16" s="32" t="n"/>
      <c r="B16" s="32" t="n"/>
      <c r="C16" s="32" t="n"/>
      <c r="D16" s="32" t="n"/>
      <c r="E16" s="32" t="n"/>
      <c r="F16" s="40">
        <f>IF(A16&amp;B16="","",IF(A16="","ERRO: falta ID",IF(COUNTIF(cad_pessoa_id,A16)&gt;1,"ERRO: ID repetido",IF(B16="","ERRO: falta nome","OK"))))</f>
        <v/>
      </c>
    </row>
    <row r="17">
      <c r="A17" s="32" t="n"/>
      <c r="B17" s="32" t="n"/>
      <c r="C17" s="32" t="n"/>
      <c r="D17" s="32" t="n"/>
      <c r="E17" s="32" t="n"/>
      <c r="F17" s="40">
        <f>IF(A17&amp;B17="","",IF(A17="","ERRO: falta ID",IF(COUNTIF(cad_pessoa_id,A17)&gt;1,"ERRO: ID repetido",IF(B17="","ERRO: falta nome","OK"))))</f>
        <v/>
      </c>
    </row>
    <row r="18">
      <c r="A18" s="32" t="n"/>
      <c r="B18" s="32" t="n"/>
      <c r="C18" s="32" t="n"/>
      <c r="D18" s="32" t="n"/>
      <c r="E18" s="32" t="n"/>
      <c r="F18" s="40">
        <f>IF(A18&amp;B18="","",IF(A18="","ERRO: falta ID",IF(COUNTIF(cad_pessoa_id,A18)&gt;1,"ERRO: ID repetido",IF(B18="","ERRO: falta nome","OK"))))</f>
        <v/>
      </c>
    </row>
    <row r="19">
      <c r="A19" s="32" t="n"/>
      <c r="B19" s="32" t="n"/>
      <c r="C19" s="32" t="n"/>
      <c r="D19" s="32" t="n"/>
      <c r="E19" s="32" t="n"/>
      <c r="F19" s="40">
        <f>IF(A19&amp;B19="","",IF(A19="","ERRO: falta ID",IF(COUNTIF(cad_pessoa_id,A19)&gt;1,"ERRO: ID repetido",IF(B19="","ERRO: falta nome","OK"))))</f>
        <v/>
      </c>
    </row>
    <row r="20">
      <c r="A20" s="32" t="n"/>
      <c r="B20" s="32" t="n"/>
      <c r="C20" s="32" t="n"/>
      <c r="D20" s="32" t="n"/>
      <c r="E20" s="32" t="n"/>
      <c r="F20" s="40">
        <f>IF(A20&amp;B20="","",IF(A20="","ERRO: falta ID",IF(COUNTIF(cad_pessoa_id,A20)&gt;1,"ERRO: ID repetido",IF(B20="","ERRO: falta nome","OK"))))</f>
        <v/>
      </c>
    </row>
    <row r="21">
      <c r="A21" s="32" t="n"/>
      <c r="B21" s="32" t="n"/>
      <c r="C21" s="32" t="n"/>
      <c r="D21" s="32" t="n"/>
      <c r="E21" s="32" t="n"/>
      <c r="F21" s="40">
        <f>IF(A21&amp;B21="","",IF(A21="","ERRO: falta ID",IF(COUNTIF(cad_pessoa_id,A21)&gt;1,"ERRO: ID repetido",IF(B21="","ERRO: falta nome","OK"))))</f>
        <v/>
      </c>
    </row>
    <row r="22">
      <c r="A22" s="32" t="n"/>
      <c r="B22" s="32" t="n"/>
      <c r="C22" s="32" t="n"/>
      <c r="D22" s="32" t="n"/>
      <c r="E22" s="32" t="n"/>
      <c r="F22" s="40">
        <f>IF(A22&amp;B22="","",IF(A22="","ERRO: falta ID",IF(COUNTIF(cad_pessoa_id,A22)&gt;1,"ERRO: ID repetido",IF(B22="","ERRO: falta nome","OK"))))</f>
        <v/>
      </c>
    </row>
    <row r="23">
      <c r="A23" s="32" t="n"/>
      <c r="B23" s="32" t="n"/>
      <c r="C23" s="32" t="n"/>
      <c r="D23" s="32" t="n"/>
      <c r="E23" s="32" t="n"/>
      <c r="F23" s="40">
        <f>IF(A23&amp;B23="","",IF(A23="","ERRO: falta ID",IF(COUNTIF(cad_pessoa_id,A23)&gt;1,"ERRO: ID repetido",IF(B23="","ERRO: falta nome","OK"))))</f>
        <v/>
      </c>
    </row>
    <row r="24">
      <c r="A24" s="32" t="n"/>
      <c r="B24" s="32" t="n"/>
      <c r="C24" s="32" t="n"/>
      <c r="D24" s="32" t="n"/>
      <c r="E24" s="32" t="n"/>
      <c r="F24" s="40">
        <f>IF(A24&amp;B24="","",IF(A24="","ERRO: falta ID",IF(COUNTIF(cad_pessoa_id,A24)&gt;1,"ERRO: ID repetido",IF(B24="","ERRO: falta nome","OK"))))</f>
        <v/>
      </c>
    </row>
    <row r="25">
      <c r="A25" s="32" t="n"/>
      <c r="B25" s="32" t="n"/>
      <c r="C25" s="32" t="n"/>
      <c r="D25" s="32" t="n"/>
      <c r="E25" s="32" t="n"/>
      <c r="F25" s="40">
        <f>IF(A25&amp;B25="","",IF(A25="","ERRO: falta ID",IF(COUNTIF(cad_pessoa_id,A25)&gt;1,"ERRO: ID repetido",IF(B25="","ERRO: falta nome","OK"))))</f>
        <v/>
      </c>
    </row>
    <row r="26">
      <c r="A26" s="32" t="n"/>
      <c r="B26" s="32" t="n"/>
      <c r="C26" s="32" t="n"/>
      <c r="D26" s="32" t="n"/>
      <c r="E26" s="32" t="n"/>
      <c r="F26" s="40">
        <f>IF(A26&amp;B26="","",IF(A26="","ERRO: falta ID",IF(COUNTIF(cad_pessoa_id,A26)&gt;1,"ERRO: ID repetido",IF(B26="","ERRO: falta nome","OK"))))</f>
        <v/>
      </c>
    </row>
    <row r="27">
      <c r="A27" s="32" t="n"/>
      <c r="B27" s="32" t="n"/>
      <c r="C27" s="32" t="n"/>
      <c r="D27" s="32" t="n"/>
      <c r="E27" s="32" t="n"/>
      <c r="F27" s="40">
        <f>IF(A27&amp;B27="","",IF(A27="","ERRO: falta ID",IF(COUNTIF(cad_pessoa_id,A27)&gt;1,"ERRO: ID repetido",IF(B27="","ERRO: falta nome","OK"))))</f>
        <v/>
      </c>
    </row>
    <row r="28">
      <c r="A28" s="32" t="n"/>
      <c r="B28" s="32" t="n"/>
      <c r="C28" s="32" t="n"/>
      <c r="D28" s="32" t="n"/>
      <c r="E28" s="32" t="n"/>
      <c r="F28" s="40">
        <f>IF(A28&amp;B28="","",IF(A28="","ERRO: falta ID",IF(COUNTIF(cad_pessoa_id,A28)&gt;1,"ERRO: ID repetido",IF(B28="","ERRO: falta nome","OK"))))</f>
        <v/>
      </c>
    </row>
    <row r="29">
      <c r="A29" s="32" t="n"/>
      <c r="B29" s="32" t="n"/>
      <c r="C29" s="32" t="n"/>
      <c r="D29" s="32" t="n"/>
      <c r="E29" s="32" t="n"/>
      <c r="F29" s="40">
        <f>IF(A29&amp;B29="","",IF(A29="","ERRO: falta ID",IF(COUNTIF(cad_pessoa_id,A29)&gt;1,"ERRO: ID repetido",IF(B29="","ERRO: falta nome","OK"))))</f>
        <v/>
      </c>
    </row>
    <row r="30">
      <c r="A30" s="32" t="n"/>
      <c r="B30" s="32" t="n"/>
      <c r="C30" s="32" t="n"/>
      <c r="D30" s="32" t="n"/>
      <c r="E30" s="32" t="n"/>
      <c r="F30" s="40">
        <f>IF(A30&amp;B30="","",IF(A30="","ERRO: falta ID",IF(COUNTIF(cad_pessoa_id,A30)&gt;1,"ERRO: ID repetido",IF(B30="","ERRO: falta nome","OK"))))</f>
        <v/>
      </c>
    </row>
    <row r="31">
      <c r="A31" s="32" t="n"/>
      <c r="B31" s="32" t="n"/>
      <c r="C31" s="32" t="n"/>
      <c r="D31" s="32" t="n"/>
      <c r="E31" s="32" t="n"/>
      <c r="F31" s="40">
        <f>IF(A31&amp;B31="","",IF(A31="","ERRO: falta ID",IF(COUNTIF(cad_pessoa_id,A31)&gt;1,"ERRO: ID repetido",IF(B31="","ERRO: falta nome","OK"))))</f>
        <v/>
      </c>
    </row>
    <row r="32">
      <c r="A32" s="32" t="n"/>
      <c r="B32" s="32" t="n"/>
      <c r="C32" s="32" t="n"/>
      <c r="D32" s="32" t="n"/>
      <c r="E32" s="32" t="n"/>
      <c r="F32" s="40">
        <f>IF(A32&amp;B32="","",IF(A32="","ERRO: falta ID",IF(COUNTIF(cad_pessoa_id,A32)&gt;1,"ERRO: ID repetido",IF(B32="","ERRO: falta nome","OK"))))</f>
        <v/>
      </c>
    </row>
    <row r="33">
      <c r="A33" s="32" t="n"/>
      <c r="B33" s="32" t="n"/>
      <c r="C33" s="32" t="n"/>
      <c r="D33" s="32" t="n"/>
      <c r="E33" s="32" t="n"/>
      <c r="F33" s="40">
        <f>IF(A33&amp;B33="","",IF(A33="","ERRO: falta ID",IF(COUNTIF(cad_pessoa_id,A33)&gt;1,"ERRO: ID repetido",IF(B33="","ERRO: falta nome","OK"))))</f>
        <v/>
      </c>
    </row>
    <row r="34">
      <c r="A34" s="32" t="n"/>
      <c r="B34" s="32" t="n"/>
      <c r="C34" s="32" t="n"/>
      <c r="D34" s="32" t="n"/>
      <c r="E34" s="32" t="n"/>
      <c r="F34" s="40">
        <f>IF(A34&amp;B34="","",IF(A34="","ERRO: falta ID",IF(COUNTIF(cad_pessoa_id,A34)&gt;1,"ERRO: ID repetido",IF(B34="","ERRO: falta nome","OK"))))</f>
        <v/>
      </c>
    </row>
    <row r="35">
      <c r="A35" s="32" t="n"/>
      <c r="B35" s="32" t="n"/>
      <c r="C35" s="32" t="n"/>
      <c r="D35" s="32" t="n"/>
      <c r="E35" s="32" t="n"/>
      <c r="F35" s="40">
        <f>IF(A35&amp;B35="","",IF(A35="","ERRO: falta ID",IF(COUNTIF(cad_pessoa_id,A35)&gt;1,"ERRO: ID repetido",IF(B35="","ERRO: falta nome","OK"))))</f>
        <v/>
      </c>
    </row>
    <row r="36">
      <c r="A36" s="32" t="n"/>
      <c r="B36" s="32" t="n"/>
      <c r="C36" s="32" t="n"/>
      <c r="D36" s="32" t="n"/>
      <c r="E36" s="32" t="n"/>
      <c r="F36" s="40">
        <f>IF(A36&amp;B36="","",IF(A36="","ERRO: falta ID",IF(COUNTIF(cad_pessoa_id,A36)&gt;1,"ERRO: ID repetido",IF(B36="","ERRO: falta nome","OK"))))</f>
        <v/>
      </c>
    </row>
    <row r="37">
      <c r="A37" s="32" t="n"/>
      <c r="B37" s="32" t="n"/>
      <c r="C37" s="32" t="n"/>
      <c r="D37" s="32" t="n"/>
      <c r="E37" s="32" t="n"/>
      <c r="F37" s="40">
        <f>IF(A37&amp;B37="","",IF(A37="","ERRO: falta ID",IF(COUNTIF(cad_pessoa_id,A37)&gt;1,"ERRO: ID repetido",IF(B37="","ERRO: falta nome","OK"))))</f>
        <v/>
      </c>
    </row>
    <row r="38">
      <c r="A38" s="32" t="n"/>
      <c r="B38" s="32" t="n"/>
      <c r="C38" s="32" t="n"/>
      <c r="D38" s="32" t="n"/>
      <c r="E38" s="32" t="n"/>
      <c r="F38" s="40">
        <f>IF(A38&amp;B38="","",IF(A38="","ERRO: falta ID",IF(COUNTIF(cad_pessoa_id,A38)&gt;1,"ERRO: ID repetido",IF(B38="","ERRO: falta nome","OK"))))</f>
        <v/>
      </c>
    </row>
    <row r="39">
      <c r="A39" s="32" t="n"/>
      <c r="B39" s="32" t="n"/>
      <c r="C39" s="32" t="n"/>
      <c r="D39" s="32" t="n"/>
      <c r="E39" s="32" t="n"/>
      <c r="F39" s="40">
        <f>IF(A39&amp;B39="","",IF(A39="","ERRO: falta ID",IF(COUNTIF(cad_pessoa_id,A39)&gt;1,"ERRO: ID repetido",IF(B39="","ERRO: falta nome","OK"))))</f>
        <v/>
      </c>
    </row>
    <row r="40">
      <c r="A40" s="32" t="n"/>
      <c r="B40" s="32" t="n"/>
      <c r="C40" s="32" t="n"/>
      <c r="D40" s="32" t="n"/>
      <c r="E40" s="32" t="n"/>
      <c r="F40" s="40">
        <f>IF(A40&amp;B40="","",IF(A40="","ERRO: falta ID",IF(COUNTIF(cad_pessoa_id,A40)&gt;1,"ERRO: ID repetido",IF(B40="","ERRO: falta nome","OK"))))</f>
        <v/>
      </c>
    </row>
    <row r="41">
      <c r="A41" s="32" t="n"/>
      <c r="B41" s="32" t="n"/>
      <c r="C41" s="32" t="n"/>
      <c r="D41" s="32" t="n"/>
      <c r="E41" s="32" t="n"/>
      <c r="F41" s="40">
        <f>IF(A41&amp;B41="","",IF(A41="","ERRO: falta ID",IF(COUNTIF(cad_pessoa_id,A41)&gt;1,"ERRO: ID repetido",IF(B41="","ERRO: falta nome","OK"))))</f>
        <v/>
      </c>
    </row>
    <row r="42">
      <c r="A42" s="32" t="n"/>
      <c r="B42" s="32" t="n"/>
      <c r="C42" s="32" t="n"/>
      <c r="D42" s="32" t="n"/>
      <c r="E42" s="32" t="n"/>
      <c r="F42" s="40">
        <f>IF(A42&amp;B42="","",IF(A42="","ERRO: falta ID",IF(COUNTIF(cad_pessoa_id,A42)&gt;1,"ERRO: ID repetido",IF(B42="","ERRO: falta nome","OK"))))</f>
        <v/>
      </c>
    </row>
    <row r="43">
      <c r="A43" s="32" t="n"/>
      <c r="B43" s="32" t="n"/>
      <c r="C43" s="32" t="n"/>
      <c r="D43" s="32" t="n"/>
      <c r="E43" s="32" t="n"/>
      <c r="F43" s="40">
        <f>IF(A43&amp;B43="","",IF(A43="","ERRO: falta ID",IF(COUNTIF(cad_pessoa_id,A43)&gt;1,"ERRO: ID repetido",IF(B43="","ERRO: falta nome","OK"))))</f>
        <v/>
      </c>
    </row>
    <row r="44">
      <c r="A44" s="32" t="n"/>
      <c r="B44" s="32" t="n"/>
      <c r="C44" s="32" t="n"/>
      <c r="D44" s="32" t="n"/>
      <c r="E44" s="32" t="n"/>
      <c r="F44" s="40">
        <f>IF(A44&amp;B44="","",IF(A44="","ERRO: falta ID",IF(COUNTIF(cad_pessoa_id,A44)&gt;1,"ERRO: ID repetido",IF(B44="","ERRO: falta nome","OK"))))</f>
        <v/>
      </c>
    </row>
    <row r="45">
      <c r="A45" s="32" t="n"/>
      <c r="B45" s="32" t="n"/>
      <c r="C45" s="32" t="n"/>
      <c r="D45" s="32" t="n"/>
      <c r="E45" s="32" t="n"/>
      <c r="F45" s="40">
        <f>IF(A45&amp;B45="","",IF(A45="","ERRO: falta ID",IF(COUNTIF(cad_pessoa_id,A45)&gt;1,"ERRO: ID repetido",IF(B45="","ERRO: falta nome","OK"))))</f>
        <v/>
      </c>
    </row>
    <row r="46">
      <c r="A46" s="32" t="n"/>
      <c r="B46" s="32" t="n"/>
      <c r="C46" s="32" t="n"/>
      <c r="D46" s="32" t="n"/>
      <c r="E46" s="32" t="n"/>
      <c r="F46" s="40">
        <f>IF(A46&amp;B46="","",IF(A46="","ERRO: falta ID",IF(COUNTIF(cad_pessoa_id,A46)&gt;1,"ERRO: ID repetido",IF(B46="","ERRO: falta nome","OK"))))</f>
        <v/>
      </c>
    </row>
    <row r="47">
      <c r="A47" s="32" t="n"/>
      <c r="B47" s="32" t="n"/>
      <c r="C47" s="32" t="n"/>
      <c r="D47" s="32" t="n"/>
      <c r="E47" s="32" t="n"/>
      <c r="F47" s="40">
        <f>IF(A47&amp;B47="","",IF(A47="","ERRO: falta ID",IF(COUNTIF(cad_pessoa_id,A47)&gt;1,"ERRO: ID repetido",IF(B47="","ERRO: falta nome","OK"))))</f>
        <v/>
      </c>
    </row>
    <row r="48">
      <c r="A48" s="32" t="n"/>
      <c r="B48" s="32" t="n"/>
      <c r="C48" s="32" t="n"/>
      <c r="D48" s="32" t="n"/>
      <c r="E48" s="32" t="n"/>
      <c r="F48" s="40">
        <f>IF(A48&amp;B48="","",IF(A48="","ERRO: falta ID",IF(COUNTIF(cad_pessoa_id,A48)&gt;1,"ERRO: ID repetido",IF(B48="","ERRO: falta nome","OK"))))</f>
        <v/>
      </c>
    </row>
    <row r="49">
      <c r="A49" s="32" t="n"/>
      <c r="B49" s="32" t="n"/>
      <c r="C49" s="32" t="n"/>
      <c r="D49" s="32" t="n"/>
      <c r="E49" s="32" t="n"/>
      <c r="F49" s="40">
        <f>IF(A49&amp;B49="","",IF(A49="","ERRO: falta ID",IF(COUNTIF(cad_pessoa_id,A49)&gt;1,"ERRO: ID repetido",IF(B49="","ERRO: falta nome","OK"))))</f>
        <v/>
      </c>
    </row>
    <row r="50">
      <c r="A50" s="32" t="n"/>
      <c r="B50" s="32" t="n"/>
      <c r="C50" s="32" t="n"/>
      <c r="D50" s="32" t="n"/>
      <c r="E50" s="32" t="n"/>
      <c r="F50" s="40">
        <f>IF(A50&amp;B50="","",IF(A50="","ERRO: falta ID",IF(COUNTIF(cad_pessoa_id,A50)&gt;1,"ERRO: ID repetido",IF(B50="","ERRO: falta nome","OK"))))</f>
        <v/>
      </c>
    </row>
    <row r="51">
      <c r="A51" s="32" t="n"/>
      <c r="B51" s="32" t="n"/>
      <c r="C51" s="32" t="n"/>
      <c r="D51" s="32" t="n"/>
      <c r="E51" s="32" t="n"/>
      <c r="F51" s="40">
        <f>IF(A51&amp;B51="","",IF(A51="","ERRO: falta ID",IF(COUNTIF(cad_pessoa_id,A51)&gt;1,"ERRO: ID repetido",IF(B51="","ERRO: falta nome","OK"))))</f>
        <v/>
      </c>
    </row>
    <row r="52">
      <c r="A52" s="32" t="n"/>
      <c r="B52" s="32" t="n"/>
      <c r="C52" s="32" t="n"/>
      <c r="D52" s="32" t="n"/>
      <c r="E52" s="32" t="n"/>
      <c r="F52" s="40">
        <f>IF(A52&amp;B52="","",IF(A52="","ERRO: falta ID",IF(COUNTIF(cad_pessoa_id,A52)&gt;1,"ERRO: ID repetido",IF(B52="","ERRO: falta nome","OK"))))</f>
        <v/>
      </c>
    </row>
    <row r="53">
      <c r="A53" s="32" t="n"/>
      <c r="B53" s="32" t="n"/>
      <c r="C53" s="32" t="n"/>
      <c r="D53" s="32" t="n"/>
      <c r="E53" s="32" t="n"/>
      <c r="F53" s="40">
        <f>IF(A53&amp;B53="","",IF(A53="","ERRO: falta ID",IF(COUNTIF(cad_pessoa_id,A53)&gt;1,"ERRO: ID repetido",IF(B53="","ERRO: falta nome","OK"))))</f>
        <v/>
      </c>
    </row>
    <row r="54">
      <c r="A54" s="32" t="n"/>
      <c r="B54" s="32" t="n"/>
      <c r="C54" s="32" t="n"/>
      <c r="D54" s="32" t="n"/>
      <c r="E54" s="32" t="n"/>
      <c r="F54" s="40">
        <f>IF(A54&amp;B54="","",IF(A54="","ERRO: falta ID",IF(COUNTIF(cad_pessoa_id,A54)&gt;1,"ERRO: ID repetido",IF(B54="","ERRO: falta nome","OK"))))</f>
        <v/>
      </c>
    </row>
    <row r="55">
      <c r="A55" s="32" t="n"/>
      <c r="B55" s="32" t="n"/>
      <c r="C55" s="32" t="n"/>
      <c r="D55" s="32" t="n"/>
      <c r="E55" s="32" t="n"/>
      <c r="F55" s="40">
        <f>IF(A55&amp;B55="","",IF(A55="","ERRO: falta ID",IF(COUNTIF(cad_pessoa_id,A55)&gt;1,"ERRO: ID repetido",IF(B55="","ERRO: falta nome","OK"))))</f>
        <v/>
      </c>
    </row>
    <row r="56">
      <c r="A56" s="32" t="n"/>
      <c r="B56" s="32" t="n"/>
      <c r="C56" s="32" t="n"/>
      <c r="D56" s="32" t="n"/>
      <c r="E56" s="32" t="n"/>
      <c r="F56" s="40">
        <f>IF(A56&amp;B56="","",IF(A56="","ERRO: falta ID",IF(COUNTIF(cad_pessoa_id,A56)&gt;1,"ERRO: ID repetido",IF(B56="","ERRO: falta nome","OK"))))</f>
        <v/>
      </c>
    </row>
    <row r="57">
      <c r="A57" s="32" t="n"/>
      <c r="B57" s="32" t="n"/>
      <c r="C57" s="32" t="n"/>
      <c r="D57" s="32" t="n"/>
      <c r="E57" s="32" t="n"/>
      <c r="F57" s="40">
        <f>IF(A57&amp;B57="","",IF(A57="","ERRO: falta ID",IF(COUNTIF(cad_pessoa_id,A57)&gt;1,"ERRO: ID repetido",IF(B57="","ERRO: falta nome","OK"))))</f>
        <v/>
      </c>
    </row>
    <row r="58">
      <c r="A58" s="32" t="n"/>
      <c r="B58" s="32" t="n"/>
      <c r="C58" s="32" t="n"/>
      <c r="D58" s="32" t="n"/>
      <c r="E58" s="32" t="n"/>
      <c r="F58" s="40">
        <f>IF(A58&amp;B58="","",IF(A58="","ERRO: falta ID",IF(COUNTIF(cad_pessoa_id,A58)&gt;1,"ERRO: ID repetido",IF(B58="","ERRO: falta nome","OK"))))</f>
        <v/>
      </c>
    </row>
    <row r="59">
      <c r="A59" s="32" t="n"/>
      <c r="B59" s="32" t="n"/>
      <c r="C59" s="32" t="n"/>
      <c r="D59" s="32" t="n"/>
      <c r="E59" s="32" t="n"/>
      <c r="F59" s="40">
        <f>IF(A59&amp;B59="","",IF(A59="","ERRO: falta ID",IF(COUNTIF(cad_pessoa_id,A59)&gt;1,"ERRO: ID repetido",IF(B59="","ERRO: falta nome","OK"))))</f>
        <v/>
      </c>
    </row>
    <row r="60">
      <c r="A60" s="32" t="n"/>
      <c r="B60" s="32" t="n"/>
      <c r="C60" s="32" t="n"/>
      <c r="D60" s="32" t="n"/>
      <c r="E60" s="32" t="n"/>
      <c r="F60" s="40">
        <f>IF(A60&amp;B60="","",IF(A60="","ERRO: falta ID",IF(COUNTIF(cad_pessoa_id,A60)&gt;1,"ERRO: ID repetido",IF(B60="","ERRO: falta nome","OK"))))</f>
        <v/>
      </c>
    </row>
    <row r="61">
      <c r="A61" s="32" t="n"/>
      <c r="B61" s="32" t="n"/>
      <c r="C61" s="32" t="n"/>
      <c r="D61" s="32" t="n"/>
      <c r="E61" s="32" t="n"/>
      <c r="F61" s="40">
        <f>IF(A61&amp;B61="","",IF(A61="","ERRO: falta ID",IF(COUNTIF(cad_pessoa_id,A61)&gt;1,"ERRO: ID repetido",IF(B61="","ERRO: falta nome","OK"))))</f>
        <v/>
      </c>
    </row>
    <row r="62">
      <c r="A62" s="32" t="n"/>
      <c r="B62" s="32" t="n"/>
      <c r="C62" s="32" t="n"/>
      <c r="D62" s="32" t="n"/>
      <c r="E62" s="32" t="n"/>
      <c r="F62" s="40">
        <f>IF(A62&amp;B62="","",IF(A62="","ERRO: falta ID",IF(COUNTIF(cad_pessoa_id,A62)&gt;1,"ERRO: ID repetido",IF(B62="","ERRO: falta nome","OK"))))</f>
        <v/>
      </c>
    </row>
    <row r="63">
      <c r="A63" s="32" t="n"/>
      <c r="B63" s="32" t="n"/>
      <c r="C63" s="32" t="n"/>
      <c r="D63" s="32" t="n"/>
      <c r="E63" s="32" t="n"/>
      <c r="F63" s="40">
        <f>IF(A63&amp;B63="","",IF(A63="","ERRO: falta ID",IF(COUNTIF(cad_pessoa_id,A63)&gt;1,"ERRO: ID repetido",IF(B63="","ERRO: falta nome","OK"))))</f>
        <v/>
      </c>
    </row>
    <row r="64">
      <c r="A64" s="32" t="n"/>
      <c r="B64" s="32" t="n"/>
      <c r="C64" s="32" t="n"/>
      <c r="D64" s="32" t="n"/>
      <c r="E64" s="32" t="n"/>
      <c r="F64" s="40">
        <f>IF(A64&amp;B64="","",IF(A64="","ERRO: falta ID",IF(COUNTIF(cad_pessoa_id,A64)&gt;1,"ERRO: ID repetido",IF(B64="","ERRO: falta nome","OK"))))</f>
        <v/>
      </c>
    </row>
    <row r="65">
      <c r="A65" s="32" t="n"/>
      <c r="B65" s="32" t="n"/>
      <c r="C65" s="32" t="n"/>
      <c r="D65" s="32" t="n"/>
      <c r="E65" s="32" t="n"/>
      <c r="F65" s="40">
        <f>IF(A65&amp;B65="","",IF(A65="","ERRO: falta ID",IF(COUNTIF(cad_pessoa_id,A65)&gt;1,"ERRO: ID repetido",IF(B65="","ERRO: falta nome","OK"))))</f>
        <v/>
      </c>
    </row>
    <row r="66">
      <c r="A66" s="32" t="n"/>
      <c r="B66" s="32" t="n"/>
      <c r="C66" s="32" t="n"/>
      <c r="D66" s="32" t="n"/>
      <c r="E66" s="32" t="n"/>
      <c r="F66" s="40">
        <f>IF(A66&amp;B66="","",IF(A66="","ERRO: falta ID",IF(COUNTIF(cad_pessoa_id,A66)&gt;1,"ERRO: ID repetido",IF(B66="","ERRO: falta nome","OK"))))</f>
        <v/>
      </c>
    </row>
  </sheetData>
  <autoFilter ref="A6:F66"/>
  <mergeCells count="5">
    <mergeCell ref="A2:F2"/>
    <mergeCell ref="E4:F4"/>
    <mergeCell ref="A4:D4"/>
    <mergeCell ref="B1:F1"/>
    <mergeCell ref="A3:F3"/>
  </mergeCells>
  <conditionalFormatting sqref="E4">
    <cfRule type="expression" priority="1" dxfId="0">
      <formula>LEFT(E4,7)="ATENÇÃO"</formula>
    </cfRule>
  </conditionalFormatting>
  <conditionalFormatting sqref="A7:F66">
    <cfRule type="expression" priority="2" dxfId="5">
      <formula>$E7="Não"</formula>
    </cfRule>
    <cfRule type="expression" priority="7" dxfId="4">
      <formula>AND($A7&lt;&gt;"",MOD(ROW(),2)=0)</formula>
    </cfRule>
  </conditionalFormatting>
  <conditionalFormatting sqref="F7:F66">
    <cfRule type="expression" priority="3" dxfId="0" stopIfTrue="1">
      <formula>LEFT(F7,4)="ERRO"</formula>
    </cfRule>
    <cfRule type="expression" priority="4" dxfId="1" stopIfTrue="1">
      <formula>OR(LEFT(F7,8)="Pendente",LEFT(F7,9)="Verificar",LEFT(F7,9)="Duplicada",LEFT(F7,7)="Tarefa ",LEFT(F7,13)="Fora do plano",LEFT(F7,8)="Previsão",LEFT(F7,11)="Sem vínculo",LEFT(F7,14)="Não verificado",LEFT(F7,13)="Não informado",LEFT(F7,7)="Informe")</formula>
    </cfRule>
    <cfRule type="expression" priority="5" dxfId="2" stopIfTrue="1">
      <formula>OR(LEFT(F7,2)="OK",LEFT(F7,10)="Verificado",F7="Vinculada",F7="No plano atual",F7="Informado")</formula>
    </cfRule>
    <cfRule type="expression" priority="6" dxfId="3">
      <formula>$A7&lt;&gt;""</formula>
    </cfRule>
  </conditionalFormatting>
  <dataValidations count="2">
    <dataValidation sqref="A7:A66" showDropDown="0" showInputMessage="1" showErrorMessage="1" allowBlank="1" errorTitle="Valor não aceito" error="ID técnico: sem espaços e sem o caractere |." promptTitle="ID da pessoa" prompt="ID técnico estável (letras sem acento, números, hífen ou sublinhado)." type="custom">
      <formula1>AND(LEN(A7)&lt;=120,ISERROR(FIND("|",A7)),ISERROR(FIND(" ",A7)))</formula1>
    </dataValidation>
    <dataValidation sqref="E7:E66" showDropDown="0" showInputMessage="1" showErrorMessage="1" allowBlank="1" errorTitle="Valor não aceito" error="Use Sim ou Não." promptTitle="Ativa" prompt="Escolha Sim ou Não." type="list">
      <formula1>=lst_sim_nao</formula1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12" customWidth="1" min="4" max="4"/>
    <col width="30" customWidth="1" min="5" max="5"/>
    <col width="14" customWidth="1" min="6" max="6"/>
    <col width="32" customWidth="1" min="7" max="7"/>
  </cols>
  <sheetData>
    <row r="1" ht="32" customHeight="1">
      <c r="A1" s="12" t="inlineStr">
        <is>
          <t>PCMD-01</t>
        </is>
      </c>
      <c r="B1" s="24" t="inlineStr">
        <is>
          <t>Requisitos e referências</t>
        </is>
      </c>
      <c r="C1" s="3" t="n"/>
      <c r="D1" s="3" t="n"/>
      <c r="E1" s="3" t="n"/>
      <c r="F1" s="3" t="n"/>
      <c r="G1" s="3" t="n"/>
    </row>
    <row r="2" ht="20" customHeight="1">
      <c r="A2" s="25" t="inlineStr">
        <is>
          <t>Tudo começa Não verificado. Verificado exige versão, data e fonte HTTPS e não certifica conformidade.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  <c r="G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  <c r="F4" s="27">
        <f>IF(COUNTA(A67:A2066)&gt;0,"ATENÇÃO: dados além da linha 66","Linhas: "&amp;COUNTA(A7:A66)&amp;" de 60"&amp;IF(COUNTIF(G7:G66,"ERRO*")&gt;0,"   ·   "&amp;COUNTIF(G7:G66,"ERRO*")&amp;" com ERRO",""))</f>
        <v/>
      </c>
    </row>
    <row r="5" ht="14" customHeight="1">
      <c r="A5" s="28" t="inlineStr">
        <is>
          <t>ID</t>
        </is>
      </c>
      <c r="B5" s="28" t="inlineStr">
        <is>
          <t>PREENCHER</t>
        </is>
      </c>
      <c r="C5" s="28" t="inlineStr">
        <is>
          <t>PREENCHER</t>
        </is>
      </c>
      <c r="D5" s="28" t="inlineStr">
        <is>
          <t>PREENCHER</t>
        </is>
      </c>
      <c r="E5" s="28" t="inlineStr">
        <is>
          <t>PREENCHER</t>
        </is>
      </c>
      <c r="F5" s="28" t="inlineStr">
        <is>
          <t>PREENCHER</t>
        </is>
      </c>
      <c r="G5" s="29" t="inlineStr">
        <is>
          <t>AUTOMÁTICO</t>
        </is>
      </c>
    </row>
    <row r="6" ht="45.15" customHeight="1">
      <c r="A6" s="30" t="inlineStr">
        <is>
          <t>ID do requisito</t>
        </is>
      </c>
      <c r="B6" s="30" t="inlineStr">
        <is>
          <t>Referência ou título</t>
        </is>
      </c>
      <c r="C6" s="30" t="inlineStr">
        <is>
          <t>Versão</t>
        </is>
      </c>
      <c r="D6" s="30" t="inlineStr">
        <is>
          <t>Data da referência (dd/mm/aaaa)</t>
        </is>
      </c>
      <c r="E6" s="30" t="inlineStr">
        <is>
          <t>Fonte oficial (link HTTPS)</t>
        </is>
      </c>
      <c r="F6" s="30" t="inlineStr">
        <is>
          <t>Status de verificação</t>
        </is>
      </c>
      <c r="G6" s="31" t="inlineStr">
        <is>
          <t>Conferência</t>
        </is>
      </c>
    </row>
    <row r="7">
      <c r="A7" s="32" t="n"/>
      <c r="B7" s="33" t="n"/>
      <c r="C7" s="32" t="n"/>
      <c r="D7" s="34" t="n"/>
      <c r="E7" s="33" t="n"/>
      <c r="F7" s="32" t="n"/>
      <c r="G7" s="35">
        <f>IF(A7&amp;B7="","",IF(F7="Verificado",IF(OR(C7="",NOT(ISNUMBER(D7)),LEFT(E7,8)&lt;&gt;"https://"),"ERRO: Verificado exige versão, data e fonte HTTPS","Verificado pelo responsável (não certifica conformidade)"),"Não verificado: verificar na fonte oficial"))</f>
        <v/>
      </c>
    </row>
    <row r="8">
      <c r="A8" s="32" t="n"/>
      <c r="B8" s="33" t="n"/>
      <c r="C8" s="32" t="n"/>
      <c r="D8" s="34" t="n"/>
      <c r="E8" s="33" t="n"/>
      <c r="F8" s="32" t="n"/>
      <c r="G8" s="35">
        <f>IF(A8&amp;B8="","",IF(F8="Verificado",IF(OR(C8="",NOT(ISNUMBER(D8)),LEFT(E8,8)&lt;&gt;"https://"),"ERRO: Verificado exige versão, data e fonte HTTPS","Verificado pelo responsável (não certifica conformidade)"),"Não verificado: verificar na fonte oficial"))</f>
        <v/>
      </c>
    </row>
    <row r="9">
      <c r="A9" s="32" t="n"/>
      <c r="B9" s="33" t="n"/>
      <c r="C9" s="32" t="n"/>
      <c r="D9" s="34" t="n"/>
      <c r="E9" s="33" t="n"/>
      <c r="F9" s="32" t="n"/>
      <c r="G9" s="35">
        <f>IF(A9&amp;B9="","",IF(F9="Verificado",IF(OR(C9="",NOT(ISNUMBER(D9)),LEFT(E9,8)&lt;&gt;"https://"),"ERRO: Verificado exige versão, data e fonte HTTPS","Verificado pelo responsável (não certifica conformidade)"),"Não verificado: verificar na fonte oficial"))</f>
        <v/>
      </c>
    </row>
    <row r="10">
      <c r="A10" s="32" t="n"/>
      <c r="B10" s="33" t="n"/>
      <c r="C10" s="32" t="n"/>
      <c r="D10" s="34" t="n"/>
      <c r="E10" s="33" t="n"/>
      <c r="F10" s="32" t="n"/>
      <c r="G10" s="35">
        <f>IF(A10&amp;B10="","",IF(F10="Verificado",IF(OR(C10="",NOT(ISNUMBER(D10)),LEFT(E10,8)&lt;&gt;"https://"),"ERRO: Verificado exige versão, data e fonte HTTPS","Verificado pelo responsável (não certifica conformidade)"),"Não verificado: verificar na fonte oficial"))</f>
        <v/>
      </c>
    </row>
    <row r="11">
      <c r="A11" s="32" t="n"/>
      <c r="B11" s="33" t="n"/>
      <c r="C11" s="32" t="n"/>
      <c r="D11" s="34" t="n"/>
      <c r="E11" s="33" t="n"/>
      <c r="F11" s="32" t="n"/>
      <c r="G11" s="35">
        <f>IF(A11&amp;B11="","",IF(F11="Verificado",IF(OR(C11="",NOT(ISNUMBER(D11)),LEFT(E11,8)&lt;&gt;"https://"),"ERRO: Verificado exige versão, data e fonte HTTPS","Verificado pelo responsável (não certifica conformidade)"),"Não verificado: verificar na fonte oficial"))</f>
        <v/>
      </c>
    </row>
    <row r="12">
      <c r="A12" s="32" t="n"/>
      <c r="B12" s="33" t="n"/>
      <c r="C12" s="32" t="n"/>
      <c r="D12" s="34" t="n"/>
      <c r="E12" s="33" t="n"/>
      <c r="F12" s="32" t="n"/>
      <c r="G12" s="35">
        <f>IF(A12&amp;B12="","",IF(F12="Verificado",IF(OR(C12="",NOT(ISNUMBER(D12)),LEFT(E12,8)&lt;&gt;"https://"),"ERRO: Verificado exige versão, data e fonte HTTPS","Verificado pelo responsável (não certifica conformidade)"),"Não verificado: verificar na fonte oficial"))</f>
        <v/>
      </c>
    </row>
    <row r="13">
      <c r="A13" s="32" t="n"/>
      <c r="B13" s="33" t="n"/>
      <c r="C13" s="32" t="n"/>
      <c r="D13" s="34" t="n"/>
      <c r="E13" s="33" t="n"/>
      <c r="F13" s="32" t="n"/>
      <c r="G13" s="35">
        <f>IF(A13&amp;B13="","",IF(F13="Verificado",IF(OR(C13="",NOT(ISNUMBER(D13)),LEFT(E13,8)&lt;&gt;"https://"),"ERRO: Verificado exige versão, data e fonte HTTPS","Verificado pelo responsável (não certifica conformidade)"),"Não verificado: verificar na fonte oficial"))</f>
        <v/>
      </c>
    </row>
    <row r="14">
      <c r="A14" s="32" t="n"/>
      <c r="B14" s="33" t="n"/>
      <c r="C14" s="32" t="n"/>
      <c r="D14" s="34" t="n"/>
      <c r="E14" s="33" t="n"/>
      <c r="F14" s="32" t="n"/>
      <c r="G14" s="35">
        <f>IF(A14&amp;B14="","",IF(F14="Verificado",IF(OR(C14="",NOT(ISNUMBER(D14)),LEFT(E14,8)&lt;&gt;"https://"),"ERRO: Verificado exige versão, data e fonte HTTPS","Verificado pelo responsável (não certifica conformidade)"),"Não verificado: verificar na fonte oficial"))</f>
        <v/>
      </c>
    </row>
    <row r="15">
      <c r="A15" s="32" t="n"/>
      <c r="B15" s="33" t="n"/>
      <c r="C15" s="32" t="n"/>
      <c r="D15" s="34" t="n"/>
      <c r="E15" s="33" t="n"/>
      <c r="F15" s="32" t="n"/>
      <c r="G15" s="35">
        <f>IF(A15&amp;B15="","",IF(F15="Verificado",IF(OR(C15="",NOT(ISNUMBER(D15)),LEFT(E15,8)&lt;&gt;"https://"),"ERRO: Verificado exige versão, data e fonte HTTPS","Verificado pelo responsável (não certifica conformidade)"),"Não verificado: verificar na fonte oficial"))</f>
        <v/>
      </c>
    </row>
    <row r="16">
      <c r="A16" s="32" t="n"/>
      <c r="B16" s="33" t="n"/>
      <c r="C16" s="32" t="n"/>
      <c r="D16" s="34" t="n"/>
      <c r="E16" s="33" t="n"/>
      <c r="F16" s="32" t="n"/>
      <c r="G16" s="35">
        <f>IF(A16&amp;B16="","",IF(F16="Verificado",IF(OR(C16="",NOT(ISNUMBER(D16)),LEFT(E16,8)&lt;&gt;"https://"),"ERRO: Verificado exige versão, data e fonte HTTPS","Verificado pelo responsável (não certifica conformidade)"),"Não verificado: verificar na fonte oficial"))</f>
        <v/>
      </c>
    </row>
    <row r="17">
      <c r="A17" s="32" t="n"/>
      <c r="B17" s="33" t="n"/>
      <c r="C17" s="32" t="n"/>
      <c r="D17" s="34" t="n"/>
      <c r="E17" s="33" t="n"/>
      <c r="F17" s="32" t="n"/>
      <c r="G17" s="35">
        <f>IF(A17&amp;B17="","",IF(F17="Verificado",IF(OR(C17="",NOT(ISNUMBER(D17)),LEFT(E17,8)&lt;&gt;"https://"),"ERRO: Verificado exige versão, data e fonte HTTPS","Verificado pelo responsável (não certifica conformidade)"),"Não verificado: verificar na fonte oficial"))</f>
        <v/>
      </c>
    </row>
    <row r="18">
      <c r="A18" s="32" t="n"/>
      <c r="B18" s="33" t="n"/>
      <c r="C18" s="32" t="n"/>
      <c r="D18" s="34" t="n"/>
      <c r="E18" s="33" t="n"/>
      <c r="F18" s="32" t="n"/>
      <c r="G18" s="35">
        <f>IF(A18&amp;B18="","",IF(F18="Verificado",IF(OR(C18="",NOT(ISNUMBER(D18)),LEFT(E18,8)&lt;&gt;"https://"),"ERRO: Verificado exige versão, data e fonte HTTPS","Verificado pelo responsável (não certifica conformidade)"),"Não verificado: verificar na fonte oficial"))</f>
        <v/>
      </c>
    </row>
    <row r="19">
      <c r="A19" s="32" t="n"/>
      <c r="B19" s="33" t="n"/>
      <c r="C19" s="32" t="n"/>
      <c r="D19" s="34" t="n"/>
      <c r="E19" s="33" t="n"/>
      <c r="F19" s="32" t="n"/>
      <c r="G19" s="35">
        <f>IF(A19&amp;B19="","",IF(F19="Verificado",IF(OR(C19="",NOT(ISNUMBER(D19)),LEFT(E19,8)&lt;&gt;"https://"),"ERRO: Verificado exige versão, data e fonte HTTPS","Verificado pelo responsável (não certifica conformidade)"),"Não verificado: verificar na fonte oficial"))</f>
        <v/>
      </c>
    </row>
    <row r="20">
      <c r="A20" s="32" t="n"/>
      <c r="B20" s="33" t="n"/>
      <c r="C20" s="32" t="n"/>
      <c r="D20" s="34" t="n"/>
      <c r="E20" s="33" t="n"/>
      <c r="F20" s="32" t="n"/>
      <c r="G20" s="35">
        <f>IF(A20&amp;B20="","",IF(F20="Verificado",IF(OR(C20="",NOT(ISNUMBER(D20)),LEFT(E20,8)&lt;&gt;"https://"),"ERRO: Verificado exige versão, data e fonte HTTPS","Verificado pelo responsável (não certifica conformidade)"),"Não verificado: verificar na fonte oficial"))</f>
        <v/>
      </c>
    </row>
    <row r="21">
      <c r="A21" s="32" t="n"/>
      <c r="B21" s="33" t="n"/>
      <c r="C21" s="32" t="n"/>
      <c r="D21" s="34" t="n"/>
      <c r="E21" s="33" t="n"/>
      <c r="F21" s="32" t="n"/>
      <c r="G21" s="35">
        <f>IF(A21&amp;B21="","",IF(F21="Verificado",IF(OR(C21="",NOT(ISNUMBER(D21)),LEFT(E21,8)&lt;&gt;"https://"),"ERRO: Verificado exige versão, data e fonte HTTPS","Verificado pelo responsável (não certifica conformidade)"),"Não verificado: verificar na fonte oficial"))</f>
        <v/>
      </c>
    </row>
    <row r="22">
      <c r="A22" s="32" t="n"/>
      <c r="B22" s="33" t="n"/>
      <c r="C22" s="32" t="n"/>
      <c r="D22" s="34" t="n"/>
      <c r="E22" s="33" t="n"/>
      <c r="F22" s="32" t="n"/>
      <c r="G22" s="35">
        <f>IF(A22&amp;B22="","",IF(F22="Verificado",IF(OR(C22="",NOT(ISNUMBER(D22)),LEFT(E22,8)&lt;&gt;"https://"),"ERRO: Verificado exige versão, data e fonte HTTPS","Verificado pelo responsável (não certifica conformidade)"),"Não verificado: verificar na fonte oficial"))</f>
        <v/>
      </c>
    </row>
    <row r="23">
      <c r="A23" s="32" t="n"/>
      <c r="B23" s="33" t="n"/>
      <c r="C23" s="32" t="n"/>
      <c r="D23" s="34" t="n"/>
      <c r="E23" s="33" t="n"/>
      <c r="F23" s="32" t="n"/>
      <c r="G23" s="35">
        <f>IF(A23&amp;B23="","",IF(F23="Verificado",IF(OR(C23="",NOT(ISNUMBER(D23)),LEFT(E23,8)&lt;&gt;"https://"),"ERRO: Verificado exige versão, data e fonte HTTPS","Verificado pelo responsável (não certifica conformidade)"),"Não verificado: verificar na fonte oficial"))</f>
        <v/>
      </c>
    </row>
    <row r="24">
      <c r="A24" s="32" t="n"/>
      <c r="B24" s="33" t="n"/>
      <c r="C24" s="32" t="n"/>
      <c r="D24" s="34" t="n"/>
      <c r="E24" s="33" t="n"/>
      <c r="F24" s="32" t="n"/>
      <c r="G24" s="35">
        <f>IF(A24&amp;B24="","",IF(F24="Verificado",IF(OR(C24="",NOT(ISNUMBER(D24)),LEFT(E24,8)&lt;&gt;"https://"),"ERRO: Verificado exige versão, data e fonte HTTPS","Verificado pelo responsável (não certifica conformidade)"),"Não verificado: verificar na fonte oficial"))</f>
        <v/>
      </c>
    </row>
    <row r="25">
      <c r="A25" s="32" t="n"/>
      <c r="B25" s="33" t="n"/>
      <c r="C25" s="32" t="n"/>
      <c r="D25" s="34" t="n"/>
      <c r="E25" s="33" t="n"/>
      <c r="F25" s="32" t="n"/>
      <c r="G25" s="35">
        <f>IF(A25&amp;B25="","",IF(F25="Verificado",IF(OR(C25="",NOT(ISNUMBER(D25)),LEFT(E25,8)&lt;&gt;"https://"),"ERRO: Verificado exige versão, data e fonte HTTPS","Verificado pelo responsável (não certifica conformidade)"),"Não verificado: verificar na fonte oficial"))</f>
        <v/>
      </c>
    </row>
    <row r="26">
      <c r="A26" s="32" t="n"/>
      <c r="B26" s="33" t="n"/>
      <c r="C26" s="32" t="n"/>
      <c r="D26" s="34" t="n"/>
      <c r="E26" s="33" t="n"/>
      <c r="F26" s="32" t="n"/>
      <c r="G26" s="35">
        <f>IF(A26&amp;B26="","",IF(F26="Verificado",IF(OR(C26="",NOT(ISNUMBER(D26)),LEFT(E26,8)&lt;&gt;"https://"),"ERRO: Verificado exige versão, data e fonte HTTPS","Verificado pelo responsável (não certifica conformidade)"),"Não verificado: verificar na fonte oficial"))</f>
        <v/>
      </c>
    </row>
    <row r="27">
      <c r="A27" s="32" t="n"/>
      <c r="B27" s="33" t="n"/>
      <c r="C27" s="32" t="n"/>
      <c r="D27" s="34" t="n"/>
      <c r="E27" s="33" t="n"/>
      <c r="F27" s="32" t="n"/>
      <c r="G27" s="35">
        <f>IF(A27&amp;B27="","",IF(F27="Verificado",IF(OR(C27="",NOT(ISNUMBER(D27)),LEFT(E27,8)&lt;&gt;"https://"),"ERRO: Verificado exige versão, data e fonte HTTPS","Verificado pelo responsável (não certifica conformidade)"),"Não verificado: verificar na fonte oficial"))</f>
        <v/>
      </c>
    </row>
    <row r="28">
      <c r="A28" s="32" t="n"/>
      <c r="B28" s="33" t="n"/>
      <c r="C28" s="32" t="n"/>
      <c r="D28" s="34" t="n"/>
      <c r="E28" s="33" t="n"/>
      <c r="F28" s="32" t="n"/>
      <c r="G28" s="35">
        <f>IF(A28&amp;B28="","",IF(F28="Verificado",IF(OR(C28="",NOT(ISNUMBER(D28)),LEFT(E28,8)&lt;&gt;"https://"),"ERRO: Verificado exige versão, data e fonte HTTPS","Verificado pelo responsável (não certifica conformidade)"),"Não verificado: verificar na fonte oficial"))</f>
        <v/>
      </c>
    </row>
    <row r="29">
      <c r="A29" s="32" t="n"/>
      <c r="B29" s="33" t="n"/>
      <c r="C29" s="32" t="n"/>
      <c r="D29" s="34" t="n"/>
      <c r="E29" s="33" t="n"/>
      <c r="F29" s="32" t="n"/>
      <c r="G29" s="35">
        <f>IF(A29&amp;B29="","",IF(F29="Verificado",IF(OR(C29="",NOT(ISNUMBER(D29)),LEFT(E29,8)&lt;&gt;"https://"),"ERRO: Verificado exige versão, data e fonte HTTPS","Verificado pelo responsável (não certifica conformidade)"),"Não verificado: verificar na fonte oficial"))</f>
        <v/>
      </c>
    </row>
    <row r="30">
      <c r="A30" s="32" t="n"/>
      <c r="B30" s="33" t="n"/>
      <c r="C30" s="32" t="n"/>
      <c r="D30" s="34" t="n"/>
      <c r="E30" s="33" t="n"/>
      <c r="F30" s="32" t="n"/>
      <c r="G30" s="35">
        <f>IF(A30&amp;B30="","",IF(F30="Verificado",IF(OR(C30="",NOT(ISNUMBER(D30)),LEFT(E30,8)&lt;&gt;"https://"),"ERRO: Verificado exige versão, data e fonte HTTPS","Verificado pelo responsável (não certifica conformidade)"),"Não verificado: verificar na fonte oficial"))</f>
        <v/>
      </c>
    </row>
    <row r="31">
      <c r="A31" s="32" t="n"/>
      <c r="B31" s="33" t="n"/>
      <c r="C31" s="32" t="n"/>
      <c r="D31" s="34" t="n"/>
      <c r="E31" s="33" t="n"/>
      <c r="F31" s="32" t="n"/>
      <c r="G31" s="35">
        <f>IF(A31&amp;B31="","",IF(F31="Verificado",IF(OR(C31="",NOT(ISNUMBER(D31)),LEFT(E31,8)&lt;&gt;"https://"),"ERRO: Verificado exige versão, data e fonte HTTPS","Verificado pelo responsável (não certifica conformidade)"),"Não verificado: verificar na fonte oficial"))</f>
        <v/>
      </c>
    </row>
    <row r="32">
      <c r="A32" s="32" t="n"/>
      <c r="B32" s="33" t="n"/>
      <c r="C32" s="32" t="n"/>
      <c r="D32" s="34" t="n"/>
      <c r="E32" s="33" t="n"/>
      <c r="F32" s="32" t="n"/>
      <c r="G32" s="35">
        <f>IF(A32&amp;B32="","",IF(F32="Verificado",IF(OR(C32="",NOT(ISNUMBER(D32)),LEFT(E32,8)&lt;&gt;"https://"),"ERRO: Verificado exige versão, data e fonte HTTPS","Verificado pelo responsável (não certifica conformidade)"),"Não verificado: verificar na fonte oficial"))</f>
        <v/>
      </c>
    </row>
    <row r="33">
      <c r="A33" s="32" t="n"/>
      <c r="B33" s="33" t="n"/>
      <c r="C33" s="32" t="n"/>
      <c r="D33" s="34" t="n"/>
      <c r="E33" s="33" t="n"/>
      <c r="F33" s="32" t="n"/>
      <c r="G33" s="35">
        <f>IF(A33&amp;B33="","",IF(F33="Verificado",IF(OR(C33="",NOT(ISNUMBER(D33)),LEFT(E33,8)&lt;&gt;"https://"),"ERRO: Verificado exige versão, data e fonte HTTPS","Verificado pelo responsável (não certifica conformidade)"),"Não verificado: verificar na fonte oficial"))</f>
        <v/>
      </c>
    </row>
    <row r="34">
      <c r="A34" s="32" t="n"/>
      <c r="B34" s="33" t="n"/>
      <c r="C34" s="32" t="n"/>
      <c r="D34" s="34" t="n"/>
      <c r="E34" s="33" t="n"/>
      <c r="F34" s="32" t="n"/>
      <c r="G34" s="35">
        <f>IF(A34&amp;B34="","",IF(F34="Verificado",IF(OR(C34="",NOT(ISNUMBER(D34)),LEFT(E34,8)&lt;&gt;"https://"),"ERRO: Verificado exige versão, data e fonte HTTPS","Verificado pelo responsável (não certifica conformidade)"),"Não verificado: verificar na fonte oficial"))</f>
        <v/>
      </c>
    </row>
    <row r="35">
      <c r="A35" s="32" t="n"/>
      <c r="B35" s="33" t="n"/>
      <c r="C35" s="32" t="n"/>
      <c r="D35" s="34" t="n"/>
      <c r="E35" s="33" t="n"/>
      <c r="F35" s="32" t="n"/>
      <c r="G35" s="35">
        <f>IF(A35&amp;B35="","",IF(F35="Verificado",IF(OR(C35="",NOT(ISNUMBER(D35)),LEFT(E35,8)&lt;&gt;"https://"),"ERRO: Verificado exige versão, data e fonte HTTPS","Verificado pelo responsável (não certifica conformidade)"),"Não verificado: verificar na fonte oficial"))</f>
        <v/>
      </c>
    </row>
    <row r="36">
      <c r="A36" s="32" t="n"/>
      <c r="B36" s="33" t="n"/>
      <c r="C36" s="32" t="n"/>
      <c r="D36" s="34" t="n"/>
      <c r="E36" s="33" t="n"/>
      <c r="F36" s="32" t="n"/>
      <c r="G36" s="35">
        <f>IF(A36&amp;B36="","",IF(F36="Verificado",IF(OR(C36="",NOT(ISNUMBER(D36)),LEFT(E36,8)&lt;&gt;"https://"),"ERRO: Verificado exige versão, data e fonte HTTPS","Verificado pelo responsável (não certifica conformidade)"),"Não verificado: verificar na fonte oficial"))</f>
        <v/>
      </c>
    </row>
    <row r="37">
      <c r="A37" s="32" t="n"/>
      <c r="B37" s="33" t="n"/>
      <c r="C37" s="32" t="n"/>
      <c r="D37" s="34" t="n"/>
      <c r="E37" s="33" t="n"/>
      <c r="F37" s="32" t="n"/>
      <c r="G37" s="35">
        <f>IF(A37&amp;B37="","",IF(F37="Verificado",IF(OR(C37="",NOT(ISNUMBER(D37)),LEFT(E37,8)&lt;&gt;"https://"),"ERRO: Verificado exige versão, data e fonte HTTPS","Verificado pelo responsável (não certifica conformidade)"),"Não verificado: verificar na fonte oficial"))</f>
        <v/>
      </c>
    </row>
    <row r="38">
      <c r="A38" s="32" t="n"/>
      <c r="B38" s="33" t="n"/>
      <c r="C38" s="32" t="n"/>
      <c r="D38" s="34" t="n"/>
      <c r="E38" s="33" t="n"/>
      <c r="F38" s="32" t="n"/>
      <c r="G38" s="35">
        <f>IF(A38&amp;B38="","",IF(F38="Verificado",IF(OR(C38="",NOT(ISNUMBER(D38)),LEFT(E38,8)&lt;&gt;"https://"),"ERRO: Verificado exige versão, data e fonte HTTPS","Verificado pelo responsável (não certifica conformidade)"),"Não verificado: verificar na fonte oficial"))</f>
        <v/>
      </c>
    </row>
    <row r="39">
      <c r="A39" s="32" t="n"/>
      <c r="B39" s="33" t="n"/>
      <c r="C39" s="32" t="n"/>
      <c r="D39" s="34" t="n"/>
      <c r="E39" s="33" t="n"/>
      <c r="F39" s="32" t="n"/>
      <c r="G39" s="35">
        <f>IF(A39&amp;B39="","",IF(F39="Verificado",IF(OR(C39="",NOT(ISNUMBER(D39)),LEFT(E39,8)&lt;&gt;"https://"),"ERRO: Verificado exige versão, data e fonte HTTPS","Verificado pelo responsável (não certifica conformidade)"),"Não verificado: verificar na fonte oficial"))</f>
        <v/>
      </c>
    </row>
    <row r="40">
      <c r="A40" s="32" t="n"/>
      <c r="B40" s="33" t="n"/>
      <c r="C40" s="32" t="n"/>
      <c r="D40" s="34" t="n"/>
      <c r="E40" s="33" t="n"/>
      <c r="F40" s="32" t="n"/>
      <c r="G40" s="35">
        <f>IF(A40&amp;B40="","",IF(F40="Verificado",IF(OR(C40="",NOT(ISNUMBER(D40)),LEFT(E40,8)&lt;&gt;"https://"),"ERRO: Verificado exige versão, data e fonte HTTPS","Verificado pelo responsável (não certifica conformidade)"),"Não verificado: verificar na fonte oficial"))</f>
        <v/>
      </c>
    </row>
    <row r="41">
      <c r="A41" s="32" t="n"/>
      <c r="B41" s="33" t="n"/>
      <c r="C41" s="32" t="n"/>
      <c r="D41" s="34" t="n"/>
      <c r="E41" s="33" t="n"/>
      <c r="F41" s="32" t="n"/>
      <c r="G41" s="35">
        <f>IF(A41&amp;B41="","",IF(F41="Verificado",IF(OR(C41="",NOT(ISNUMBER(D41)),LEFT(E41,8)&lt;&gt;"https://"),"ERRO: Verificado exige versão, data e fonte HTTPS","Verificado pelo responsável (não certifica conformidade)"),"Não verificado: verificar na fonte oficial"))</f>
        <v/>
      </c>
    </row>
    <row r="42">
      <c r="A42" s="32" t="n"/>
      <c r="B42" s="33" t="n"/>
      <c r="C42" s="32" t="n"/>
      <c r="D42" s="34" t="n"/>
      <c r="E42" s="33" t="n"/>
      <c r="F42" s="32" t="n"/>
      <c r="G42" s="35">
        <f>IF(A42&amp;B42="","",IF(F42="Verificado",IF(OR(C42="",NOT(ISNUMBER(D42)),LEFT(E42,8)&lt;&gt;"https://"),"ERRO: Verificado exige versão, data e fonte HTTPS","Verificado pelo responsável (não certifica conformidade)"),"Não verificado: verificar na fonte oficial"))</f>
        <v/>
      </c>
    </row>
    <row r="43">
      <c r="A43" s="32" t="n"/>
      <c r="B43" s="33" t="n"/>
      <c r="C43" s="32" t="n"/>
      <c r="D43" s="34" t="n"/>
      <c r="E43" s="33" t="n"/>
      <c r="F43" s="32" t="n"/>
      <c r="G43" s="35">
        <f>IF(A43&amp;B43="","",IF(F43="Verificado",IF(OR(C43="",NOT(ISNUMBER(D43)),LEFT(E43,8)&lt;&gt;"https://"),"ERRO: Verificado exige versão, data e fonte HTTPS","Verificado pelo responsável (não certifica conformidade)"),"Não verificado: verificar na fonte oficial"))</f>
        <v/>
      </c>
    </row>
    <row r="44">
      <c r="A44" s="32" t="n"/>
      <c r="B44" s="33" t="n"/>
      <c r="C44" s="32" t="n"/>
      <c r="D44" s="34" t="n"/>
      <c r="E44" s="33" t="n"/>
      <c r="F44" s="32" t="n"/>
      <c r="G44" s="35">
        <f>IF(A44&amp;B44="","",IF(F44="Verificado",IF(OR(C44="",NOT(ISNUMBER(D44)),LEFT(E44,8)&lt;&gt;"https://"),"ERRO: Verificado exige versão, data e fonte HTTPS","Verificado pelo responsável (não certifica conformidade)"),"Não verificado: verificar na fonte oficial"))</f>
        <v/>
      </c>
    </row>
    <row r="45">
      <c r="A45" s="32" t="n"/>
      <c r="B45" s="33" t="n"/>
      <c r="C45" s="32" t="n"/>
      <c r="D45" s="34" t="n"/>
      <c r="E45" s="33" t="n"/>
      <c r="F45" s="32" t="n"/>
      <c r="G45" s="35">
        <f>IF(A45&amp;B45="","",IF(F45="Verificado",IF(OR(C45="",NOT(ISNUMBER(D45)),LEFT(E45,8)&lt;&gt;"https://"),"ERRO: Verificado exige versão, data e fonte HTTPS","Verificado pelo responsável (não certifica conformidade)"),"Não verificado: verificar na fonte oficial"))</f>
        <v/>
      </c>
    </row>
    <row r="46">
      <c r="A46" s="32" t="n"/>
      <c r="B46" s="33" t="n"/>
      <c r="C46" s="32" t="n"/>
      <c r="D46" s="34" t="n"/>
      <c r="E46" s="33" t="n"/>
      <c r="F46" s="32" t="n"/>
      <c r="G46" s="35">
        <f>IF(A46&amp;B46="","",IF(F46="Verificado",IF(OR(C46="",NOT(ISNUMBER(D46)),LEFT(E46,8)&lt;&gt;"https://"),"ERRO: Verificado exige versão, data e fonte HTTPS","Verificado pelo responsável (não certifica conformidade)"),"Não verificado: verificar na fonte oficial"))</f>
        <v/>
      </c>
    </row>
    <row r="47">
      <c r="A47" s="32" t="n"/>
      <c r="B47" s="33" t="n"/>
      <c r="C47" s="32" t="n"/>
      <c r="D47" s="34" t="n"/>
      <c r="E47" s="33" t="n"/>
      <c r="F47" s="32" t="n"/>
      <c r="G47" s="35">
        <f>IF(A47&amp;B47="","",IF(F47="Verificado",IF(OR(C47="",NOT(ISNUMBER(D47)),LEFT(E47,8)&lt;&gt;"https://"),"ERRO: Verificado exige versão, data e fonte HTTPS","Verificado pelo responsável (não certifica conformidade)"),"Não verificado: verificar na fonte oficial"))</f>
        <v/>
      </c>
    </row>
    <row r="48">
      <c r="A48" s="32" t="n"/>
      <c r="B48" s="33" t="n"/>
      <c r="C48" s="32" t="n"/>
      <c r="D48" s="34" t="n"/>
      <c r="E48" s="33" t="n"/>
      <c r="F48" s="32" t="n"/>
      <c r="G48" s="35">
        <f>IF(A48&amp;B48="","",IF(F48="Verificado",IF(OR(C48="",NOT(ISNUMBER(D48)),LEFT(E48,8)&lt;&gt;"https://"),"ERRO: Verificado exige versão, data e fonte HTTPS","Verificado pelo responsável (não certifica conformidade)"),"Não verificado: verificar na fonte oficial"))</f>
        <v/>
      </c>
    </row>
    <row r="49">
      <c r="A49" s="32" t="n"/>
      <c r="B49" s="33" t="n"/>
      <c r="C49" s="32" t="n"/>
      <c r="D49" s="34" t="n"/>
      <c r="E49" s="33" t="n"/>
      <c r="F49" s="32" t="n"/>
      <c r="G49" s="35">
        <f>IF(A49&amp;B49="","",IF(F49="Verificado",IF(OR(C49="",NOT(ISNUMBER(D49)),LEFT(E49,8)&lt;&gt;"https://"),"ERRO: Verificado exige versão, data e fonte HTTPS","Verificado pelo responsável (não certifica conformidade)"),"Não verificado: verificar na fonte oficial"))</f>
        <v/>
      </c>
    </row>
    <row r="50">
      <c r="A50" s="32" t="n"/>
      <c r="B50" s="33" t="n"/>
      <c r="C50" s="32" t="n"/>
      <c r="D50" s="34" t="n"/>
      <c r="E50" s="33" t="n"/>
      <c r="F50" s="32" t="n"/>
      <c r="G50" s="35">
        <f>IF(A50&amp;B50="","",IF(F50="Verificado",IF(OR(C50="",NOT(ISNUMBER(D50)),LEFT(E50,8)&lt;&gt;"https://"),"ERRO: Verificado exige versão, data e fonte HTTPS","Verificado pelo responsável (não certifica conformidade)"),"Não verificado: verificar na fonte oficial"))</f>
        <v/>
      </c>
    </row>
    <row r="51">
      <c r="A51" s="32" t="n"/>
      <c r="B51" s="33" t="n"/>
      <c r="C51" s="32" t="n"/>
      <c r="D51" s="34" t="n"/>
      <c r="E51" s="33" t="n"/>
      <c r="F51" s="32" t="n"/>
      <c r="G51" s="35">
        <f>IF(A51&amp;B51="","",IF(F51="Verificado",IF(OR(C51="",NOT(ISNUMBER(D51)),LEFT(E51,8)&lt;&gt;"https://"),"ERRO: Verificado exige versão, data e fonte HTTPS","Verificado pelo responsável (não certifica conformidade)"),"Não verificado: verificar na fonte oficial"))</f>
        <v/>
      </c>
    </row>
    <row r="52">
      <c r="A52" s="32" t="n"/>
      <c r="B52" s="33" t="n"/>
      <c r="C52" s="32" t="n"/>
      <c r="D52" s="34" t="n"/>
      <c r="E52" s="33" t="n"/>
      <c r="F52" s="32" t="n"/>
      <c r="G52" s="35">
        <f>IF(A52&amp;B52="","",IF(F52="Verificado",IF(OR(C52="",NOT(ISNUMBER(D52)),LEFT(E52,8)&lt;&gt;"https://"),"ERRO: Verificado exige versão, data e fonte HTTPS","Verificado pelo responsável (não certifica conformidade)"),"Não verificado: verificar na fonte oficial"))</f>
        <v/>
      </c>
    </row>
    <row r="53">
      <c r="A53" s="32" t="n"/>
      <c r="B53" s="33" t="n"/>
      <c r="C53" s="32" t="n"/>
      <c r="D53" s="34" t="n"/>
      <c r="E53" s="33" t="n"/>
      <c r="F53" s="32" t="n"/>
      <c r="G53" s="35">
        <f>IF(A53&amp;B53="","",IF(F53="Verificado",IF(OR(C53="",NOT(ISNUMBER(D53)),LEFT(E53,8)&lt;&gt;"https://"),"ERRO: Verificado exige versão, data e fonte HTTPS","Verificado pelo responsável (não certifica conformidade)"),"Não verificado: verificar na fonte oficial"))</f>
        <v/>
      </c>
    </row>
    <row r="54">
      <c r="A54" s="32" t="n"/>
      <c r="B54" s="33" t="n"/>
      <c r="C54" s="32" t="n"/>
      <c r="D54" s="34" t="n"/>
      <c r="E54" s="33" t="n"/>
      <c r="F54" s="32" t="n"/>
      <c r="G54" s="35">
        <f>IF(A54&amp;B54="","",IF(F54="Verificado",IF(OR(C54="",NOT(ISNUMBER(D54)),LEFT(E54,8)&lt;&gt;"https://"),"ERRO: Verificado exige versão, data e fonte HTTPS","Verificado pelo responsável (não certifica conformidade)"),"Não verificado: verificar na fonte oficial"))</f>
        <v/>
      </c>
    </row>
    <row r="55">
      <c r="A55" s="32" t="n"/>
      <c r="B55" s="33" t="n"/>
      <c r="C55" s="32" t="n"/>
      <c r="D55" s="34" t="n"/>
      <c r="E55" s="33" t="n"/>
      <c r="F55" s="32" t="n"/>
      <c r="G55" s="35">
        <f>IF(A55&amp;B55="","",IF(F55="Verificado",IF(OR(C55="",NOT(ISNUMBER(D55)),LEFT(E55,8)&lt;&gt;"https://"),"ERRO: Verificado exige versão, data e fonte HTTPS","Verificado pelo responsável (não certifica conformidade)"),"Não verificado: verificar na fonte oficial"))</f>
        <v/>
      </c>
    </row>
    <row r="56">
      <c r="A56" s="32" t="n"/>
      <c r="B56" s="33" t="n"/>
      <c r="C56" s="32" t="n"/>
      <c r="D56" s="34" t="n"/>
      <c r="E56" s="33" t="n"/>
      <c r="F56" s="32" t="n"/>
      <c r="G56" s="35">
        <f>IF(A56&amp;B56="","",IF(F56="Verificado",IF(OR(C56="",NOT(ISNUMBER(D56)),LEFT(E56,8)&lt;&gt;"https://"),"ERRO: Verificado exige versão, data e fonte HTTPS","Verificado pelo responsável (não certifica conformidade)"),"Não verificado: verificar na fonte oficial"))</f>
        <v/>
      </c>
    </row>
    <row r="57">
      <c r="A57" s="32" t="n"/>
      <c r="B57" s="33" t="n"/>
      <c r="C57" s="32" t="n"/>
      <c r="D57" s="34" t="n"/>
      <c r="E57" s="33" t="n"/>
      <c r="F57" s="32" t="n"/>
      <c r="G57" s="35">
        <f>IF(A57&amp;B57="","",IF(F57="Verificado",IF(OR(C57="",NOT(ISNUMBER(D57)),LEFT(E57,8)&lt;&gt;"https://"),"ERRO: Verificado exige versão, data e fonte HTTPS","Verificado pelo responsável (não certifica conformidade)"),"Não verificado: verificar na fonte oficial"))</f>
        <v/>
      </c>
    </row>
    <row r="58">
      <c r="A58" s="32" t="n"/>
      <c r="B58" s="33" t="n"/>
      <c r="C58" s="32" t="n"/>
      <c r="D58" s="34" t="n"/>
      <c r="E58" s="33" t="n"/>
      <c r="F58" s="32" t="n"/>
      <c r="G58" s="35">
        <f>IF(A58&amp;B58="","",IF(F58="Verificado",IF(OR(C58="",NOT(ISNUMBER(D58)),LEFT(E58,8)&lt;&gt;"https://"),"ERRO: Verificado exige versão, data e fonte HTTPS","Verificado pelo responsável (não certifica conformidade)"),"Não verificado: verificar na fonte oficial"))</f>
        <v/>
      </c>
    </row>
    <row r="59">
      <c r="A59" s="32" t="n"/>
      <c r="B59" s="33" t="n"/>
      <c r="C59" s="32" t="n"/>
      <c r="D59" s="34" t="n"/>
      <c r="E59" s="33" t="n"/>
      <c r="F59" s="32" t="n"/>
      <c r="G59" s="35">
        <f>IF(A59&amp;B59="","",IF(F59="Verificado",IF(OR(C59="",NOT(ISNUMBER(D59)),LEFT(E59,8)&lt;&gt;"https://"),"ERRO: Verificado exige versão, data e fonte HTTPS","Verificado pelo responsável (não certifica conformidade)"),"Não verificado: verificar na fonte oficial"))</f>
        <v/>
      </c>
    </row>
    <row r="60">
      <c r="A60" s="32" t="n"/>
      <c r="B60" s="33" t="n"/>
      <c r="C60" s="32" t="n"/>
      <c r="D60" s="34" t="n"/>
      <c r="E60" s="33" t="n"/>
      <c r="F60" s="32" t="n"/>
      <c r="G60" s="35">
        <f>IF(A60&amp;B60="","",IF(F60="Verificado",IF(OR(C60="",NOT(ISNUMBER(D60)),LEFT(E60,8)&lt;&gt;"https://"),"ERRO: Verificado exige versão, data e fonte HTTPS","Verificado pelo responsável (não certifica conformidade)"),"Não verificado: verificar na fonte oficial"))</f>
        <v/>
      </c>
    </row>
    <row r="61">
      <c r="A61" s="32" t="n"/>
      <c r="B61" s="33" t="n"/>
      <c r="C61" s="32" t="n"/>
      <c r="D61" s="34" t="n"/>
      <c r="E61" s="33" t="n"/>
      <c r="F61" s="32" t="n"/>
      <c r="G61" s="35">
        <f>IF(A61&amp;B61="","",IF(F61="Verificado",IF(OR(C61="",NOT(ISNUMBER(D61)),LEFT(E61,8)&lt;&gt;"https://"),"ERRO: Verificado exige versão, data e fonte HTTPS","Verificado pelo responsável (não certifica conformidade)"),"Não verificado: verificar na fonte oficial"))</f>
        <v/>
      </c>
    </row>
    <row r="62">
      <c r="A62" s="32" t="n"/>
      <c r="B62" s="33" t="n"/>
      <c r="C62" s="32" t="n"/>
      <c r="D62" s="34" t="n"/>
      <c r="E62" s="33" t="n"/>
      <c r="F62" s="32" t="n"/>
      <c r="G62" s="35">
        <f>IF(A62&amp;B62="","",IF(F62="Verificado",IF(OR(C62="",NOT(ISNUMBER(D62)),LEFT(E62,8)&lt;&gt;"https://"),"ERRO: Verificado exige versão, data e fonte HTTPS","Verificado pelo responsável (não certifica conformidade)"),"Não verificado: verificar na fonte oficial"))</f>
        <v/>
      </c>
    </row>
    <row r="63">
      <c r="A63" s="32" t="n"/>
      <c r="B63" s="33" t="n"/>
      <c r="C63" s="32" t="n"/>
      <c r="D63" s="34" t="n"/>
      <c r="E63" s="33" t="n"/>
      <c r="F63" s="32" t="n"/>
      <c r="G63" s="35">
        <f>IF(A63&amp;B63="","",IF(F63="Verificado",IF(OR(C63="",NOT(ISNUMBER(D63)),LEFT(E63,8)&lt;&gt;"https://"),"ERRO: Verificado exige versão, data e fonte HTTPS","Verificado pelo responsável (não certifica conformidade)"),"Não verificado: verificar na fonte oficial"))</f>
        <v/>
      </c>
    </row>
    <row r="64">
      <c r="A64" s="32" t="n"/>
      <c r="B64" s="33" t="n"/>
      <c r="C64" s="32" t="n"/>
      <c r="D64" s="34" t="n"/>
      <c r="E64" s="33" t="n"/>
      <c r="F64" s="32" t="n"/>
      <c r="G64" s="35">
        <f>IF(A64&amp;B64="","",IF(F64="Verificado",IF(OR(C64="",NOT(ISNUMBER(D64)),LEFT(E64,8)&lt;&gt;"https://"),"ERRO: Verificado exige versão, data e fonte HTTPS","Verificado pelo responsável (não certifica conformidade)"),"Não verificado: verificar na fonte oficial"))</f>
        <v/>
      </c>
    </row>
    <row r="65">
      <c r="A65" s="32" t="n"/>
      <c r="B65" s="33" t="n"/>
      <c r="C65" s="32" t="n"/>
      <c r="D65" s="34" t="n"/>
      <c r="E65" s="33" t="n"/>
      <c r="F65" s="32" t="n"/>
      <c r="G65" s="35">
        <f>IF(A65&amp;B65="","",IF(F65="Verificado",IF(OR(C65="",NOT(ISNUMBER(D65)),LEFT(E65,8)&lt;&gt;"https://"),"ERRO: Verificado exige versão, data e fonte HTTPS","Verificado pelo responsável (não certifica conformidade)"),"Não verificado: verificar na fonte oficial"))</f>
        <v/>
      </c>
    </row>
    <row r="66">
      <c r="A66" s="32" t="n"/>
      <c r="B66" s="33" t="n"/>
      <c r="C66" s="32" t="n"/>
      <c r="D66" s="34" t="n"/>
      <c r="E66" s="33" t="n"/>
      <c r="F66" s="32" t="n"/>
      <c r="G66" s="35">
        <f>IF(A66&amp;B66="","",IF(F66="Verificado",IF(OR(C66="",NOT(ISNUMBER(D66)),LEFT(E66,8)&lt;&gt;"https://"),"ERRO: Verificado exige versão, data e fonte HTTPS","Verificado pelo responsável (não certifica conformidade)"),"Não verificado: verificar na fonte oficial"))</f>
        <v/>
      </c>
    </row>
  </sheetData>
  <autoFilter ref="A6:G66"/>
  <mergeCells count="5">
    <mergeCell ref="F4:G4"/>
    <mergeCell ref="A4:E4"/>
    <mergeCell ref="A3:G3"/>
    <mergeCell ref="B1:G1"/>
    <mergeCell ref="A2:G2"/>
  </mergeCells>
  <conditionalFormatting sqref="F4">
    <cfRule type="expression" priority="1" dxfId="0">
      <formula>LEFT(F4,7)="ATENÇÃO"</formula>
    </cfRule>
  </conditionalFormatting>
  <conditionalFormatting sqref="G7:G66">
    <cfRule type="expression" priority="2" dxfId="0" stopIfTrue="1">
      <formula>LEFT(G7,4)="ERRO"</formula>
    </cfRule>
    <cfRule type="expression" priority="3" dxfId="1" stopIfTrue="1">
      <formula>OR(LEFT(G7,8)="Pendente",LEFT(G7,9)="Verificar",LEFT(G7,9)="Duplicada",LEFT(G7,7)="Tarefa ",LEFT(G7,13)="Fora do plano",LEFT(G7,8)="Previsão",LEFT(G7,11)="Sem vínculo",LEFT(G7,14)="Não verificado",LEFT(G7,13)="Não informado",LEFT(G7,7)="Informe")</formula>
    </cfRule>
    <cfRule type="expression" priority="4" dxfId="2" stopIfTrue="1">
      <formula>OR(LEFT(G7,2)="OK",LEFT(G7,10)="Verificado",G7="Vinculada",G7="No plano atual",G7="Informado")</formula>
    </cfRule>
    <cfRule type="expression" priority="5" dxfId="3">
      <formula>$A7&lt;&gt;""</formula>
    </cfRule>
  </conditionalFormatting>
  <conditionalFormatting sqref="A7:G66">
    <cfRule type="expression" priority="6" dxfId="4">
      <formula>AND($A7&lt;&gt;"",MOD(ROW(),2)=0)</formula>
    </cfRule>
  </conditionalFormatting>
  <dataValidations count="4">
    <dataValidation sqref="A7:A66" showDropDown="0" showInputMessage="1" showErrorMessage="1" allowBlank="1" errorTitle="Valor não aceito" error="ID técnico: sem espaços e sem o caractere |." promptTitle="ID do requisito" prompt="ID técnico estável (letras sem acento, números, hífen ou sublinhado)." type="custom">
      <formula1>AND(LEN(A7)&lt;=120,ISERROR(FIND("|",A7)),ISERROR(FIND(" ",A7)))</formula1>
    </dataValidation>
    <dataValidation sqref="D7:D66" showDropDown="0" showInputMessage="1" showErrorMessage="1" allowBlank="1" errorTitle="Valor não aceito" error="Informe uma data válida (dd/mm/aaaa)." promptTitle="Data da referência (dd/mm/aaaa)" prompt="Data real do Excel, exibida em dd/mm/aaaa." type="date" operator="between">
      <formula1>1</formula1>
      <formula2>2958465</formula2>
    </dataValidation>
    <dataValidation sqref="E7:E66" showDropDown="0" showInputMessage="1" showErrorMessage="1" allowBlank="1" errorTitle="Valor não aceito" error="Use um link que comece com https://" promptTitle="Fonte oficial (link HTTPS)" prompt="Link HTTPS da fonte oficial (texto, sem hiperlink automático)." type="custom">
      <formula1>OR(E7="",LEFT(E7,8)="https://")</formula1>
    </dataValidation>
    <dataValidation sqref="F7:F66" showDropDown="0" showInputMessage="1" showErrorMessage="1" allowBlank="1" errorTitle="Valor não aceito" error="Use Não verificado ou Verificado." promptTitle="Status de verificação" prompt="Verificado exige versão, data e fonte HTTPS; não certifica conformidade." type="list">
      <formula1>=lst_status_requisito</formula1>
    </dataValidation>
  </dataValidations>
  <pageMargins left="0.45" right="0.45" top="0.7" bottom="0.85" header="0.3" footer="0.3"/>
  <pageSetup orientation="landscape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2" customWidth="1" min="2" max="2"/>
    <col width="16" customWidth="1" min="3" max="3"/>
    <col width="2" customWidth="1" min="4" max="4"/>
    <col width="9" customWidth="1" min="5" max="5"/>
    <col width="2" customWidth="1" min="6" max="6"/>
    <col width="15" customWidth="1" min="7" max="7"/>
    <col width="2" customWidth="1" min="8" max="8"/>
  </cols>
  <sheetData>
    <row r="1" ht="32" customHeight="1">
      <c r="A1" s="12" t="inlineStr">
        <is>
          <t>PCMD-01</t>
        </is>
      </c>
      <c r="B1" s="24" t="inlineStr">
        <is>
          <t>Listas</t>
        </is>
      </c>
      <c r="C1" s="3" t="n"/>
      <c r="D1" s="3" t="n"/>
      <c r="E1" s="3" t="n"/>
      <c r="F1" s="3" t="n"/>
      <c r="G1" s="3" t="n"/>
    </row>
    <row r="2" ht="33.55" customHeight="1">
      <c r="A2" s="25" t="inlineStr">
        <is>
          <t>Valores aceitos nas listas suspensas. Ao acrescentar itens, mantenha-os dentro dos intervalos nomeados.</t>
        </is>
      </c>
    </row>
    <row r="3" ht="40.8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  <c r="G3" s="6" t="n"/>
    </row>
    <row r="4" ht="20" customHeight="1">
      <c r="A4" s="26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41" t="inlineStr">
        <is>
          <t>REFERÊNCIA</t>
        </is>
      </c>
      <c r="C5" s="41" t="inlineStr">
        <is>
          <t>REFERÊNCIA</t>
        </is>
      </c>
      <c r="E5" s="41" t="inlineStr">
        <is>
          <t>REFERÊNCIA</t>
        </is>
      </c>
      <c r="G5" s="41" t="inlineStr">
        <is>
          <t>REFERÊNCIA</t>
        </is>
      </c>
    </row>
    <row r="6" ht="30" customHeight="1">
      <c r="A6" s="42" t="inlineStr">
        <is>
          <t>Tipo de documento</t>
        </is>
      </c>
      <c r="C6" s="42" t="inlineStr">
        <is>
          <t>Situação do documento</t>
        </is>
      </c>
      <c r="E6" s="42" t="inlineStr">
        <is>
          <t>Sim/Não</t>
        </is>
      </c>
      <c r="G6" s="42" t="inlineStr">
        <is>
          <t>Status de requisito</t>
        </is>
      </c>
    </row>
    <row r="7">
      <c r="A7" s="43" t="inlineStr">
        <is>
          <t>Planilha (XLSX)</t>
        </is>
      </c>
      <c r="C7" s="43" t="inlineStr">
        <is>
          <t>Em elaboração</t>
        </is>
      </c>
      <c r="E7" s="43" t="inlineStr">
        <is>
          <t>Sim</t>
        </is>
      </c>
      <c r="G7" s="43" t="inlineStr">
        <is>
          <t>Não verificado</t>
        </is>
      </c>
    </row>
    <row r="8">
      <c r="A8" s="43" t="inlineStr">
        <is>
          <t>Manual (DOCX)</t>
        </is>
      </c>
      <c r="C8" s="43" t="inlineStr">
        <is>
          <t>Em revisão</t>
        </is>
      </c>
      <c r="E8" s="43" t="inlineStr">
        <is>
          <t>Não</t>
        </is>
      </c>
      <c r="G8" s="43" t="inlineStr">
        <is>
          <t>Verificado</t>
        </is>
      </c>
    </row>
    <row r="9">
      <c r="A9" s="43" t="inlineStr">
        <is>
          <t>Outro</t>
        </is>
      </c>
      <c r="C9" s="43" t="inlineStr">
        <is>
          <t>Aprovado</t>
        </is>
      </c>
    </row>
    <row r="10">
      <c r="A10" s="43" t="n"/>
      <c r="C10" s="43" t="inlineStr">
        <is>
          <t>Obsoleto</t>
        </is>
      </c>
    </row>
    <row r="11">
      <c r="A11" s="43" t="n"/>
      <c r="C11" s="43" t="n"/>
    </row>
    <row r="12">
      <c r="A12" s="43" t="n"/>
      <c r="C12" s="43" t="n"/>
    </row>
    <row r="13">
      <c r="A13" s="43" t="n"/>
      <c r="C13" s="43" t="n"/>
    </row>
    <row r="14">
      <c r="A14" s="43" t="n"/>
      <c r="C14" s="43" t="n"/>
    </row>
    <row r="15">
      <c r="A15" s="43" t="n"/>
      <c r="C15" s="43" t="n"/>
    </row>
    <row r="16">
      <c r="A16" s="43" t="n"/>
      <c r="C16" s="43" t="n"/>
    </row>
  </sheetData>
  <mergeCells count="4">
    <mergeCell ref="A3:G3"/>
    <mergeCell ref="A2:G2"/>
    <mergeCell ref="A4:G4"/>
    <mergeCell ref="B1:G1"/>
  </mergeCell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PCMD-01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PCMD-01 Controle documental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2026-10-23T03:49:09Z</dcterms:modified>
  <cp:keywords>PCM Direto; modelo 1.0.0; licença MIT</cp:keywords>
</cp:coreProperties>
</file>