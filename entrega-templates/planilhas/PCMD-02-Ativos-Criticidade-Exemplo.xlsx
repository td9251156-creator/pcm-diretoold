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Ativos" sheetId="2" state="visible" r:id="rId2"/>
    <sheet xmlns:r="http://schemas.openxmlformats.org/officeDocument/2006/relationships" name="Critérios" sheetId="3" state="visible" r:id="rId3"/>
    <sheet xmlns:r="http://schemas.openxmlformats.org/officeDocument/2006/relationships" name="Setores" sheetId="4" state="visible" r:id="rId4"/>
    <sheet xmlns:r="http://schemas.openxmlformats.org/officeDocument/2006/relationships" name="Listas" sheetId="5" state="visible" r:id="rId5"/>
  </sheets>
  <definedNames>
    <definedName name="pcmd_origem">'Início'!$C$25</definedName>
    <definedName name="pcmd_emissao">'Início'!$C$26</definedName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lst_tipo_id">'Listas'!$A$7:$A$36</definedName>
    <definedName name="lst_tipo_nome">'Listas'!$B$7:$B$36</definedName>
    <definedName name="lst_tipo_sigla">'Listas'!$C$7:$C$36</definedName>
    <definedName name="_xlnm.Print_Area" localSheetId="0">'Início'!$A$1:$D$28</definedName>
    <definedName name="_xlnm._FilterDatabase" localSheetId="1" hidden="1">'Ativos'!$A$6:$S$306</definedName>
    <definedName name="_xlnm.Print_Titles" localSheetId="1">'Ativos'!$6:$6,'Ativos'!$A:$B</definedName>
    <definedName name="_xlnm.Print_Area" localSheetId="1">'Ativos'!$A$1:$S$10</definedName>
    <definedName name="_xlnm.Print_Area" localSheetId="2">'Critérios'!$A$1:$E$19</definedName>
    <definedName name="_xlnm._FilterDatabase" localSheetId="3" hidden="1">'Setores'!$A$6:$C$36</definedName>
    <definedName name="_xlnm.Print_Titles" localSheetId="3">'Setores'!$6:$6</definedName>
    <definedName name="_xlnm.Print_Area" localSheetId="3">'Setores'!$A$1:$C$9</definedName>
    <definedName name="_xlnm.Print_Titles" localSheetId="4">'Listas'!$6:$6</definedName>
    <definedName name="_xlnm.Print_Area" localSheetId="4">'Listas'!$A$1:$C$36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  <font>
      <name val="Arial"/>
      <i val="1"/>
      <color rgb="005B6875"/>
      <sz val="8.5"/>
    </font>
    <font>
      <name val="Arial"/>
      <b val="1"/>
      <color rgb="00B85C00"/>
      <sz val="7"/>
    </font>
  </fonts>
  <fills count="11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FBE7EA"/>
      </patternFill>
    </fill>
    <fill>
      <patternFill patternType="solid">
        <fgColor rgb="00FFFFFF"/>
      </patternFill>
    </fill>
    <fill>
      <patternFill patternType="solid">
        <fgColor rgb="007A0019"/>
      </patternFill>
    </fill>
    <fill>
      <patternFill patternType="solid">
        <fgColor rgb="00E3ECF4"/>
      </patternFill>
    </fill>
    <fill>
      <patternFill patternType="solid">
        <fgColor rgb="00EBEFF3"/>
      </patternFill>
    </fill>
  </fills>
  <borders count="7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ck">
        <color rgb="00FFFFFF"/>
      </left>
      <right style="thick">
        <color rgb="00FFFFFF"/>
      </right>
    </border>
    <border>
      <left style="thin">
        <color rgb="00FFFFFF"/>
      </left>
      <right style="thin">
        <color rgb="00FFFFFF"/>
      </right>
      <bottom style="medium">
        <color rgb="00B85C00"/>
      </bottom>
    </border>
    <border>
      <left/>
      <right/>
      <top/>
      <bottom style="thin">
        <color rgb="00D5DDE5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8" fillId="8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18" fillId="9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20" fillId="2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0" xfId="0">
      <alignment vertical="center" wrapText="1"/>
      <protection locked="0" hidden="0"/>
    </xf>
    <xf numFmtId="0" fontId="15" fillId="0" borderId="2" applyAlignment="1" pivotButton="0" quotePrefix="0" xfId="0">
      <alignment vertical="center"/>
    </xf>
    <xf numFmtId="1" fontId="5" fillId="0" borderId="2" applyAlignment="1" applyProtection="1" pivotButton="0" quotePrefix="0" xfId="0">
      <alignment vertical="center"/>
      <protection locked="0" hidden="0"/>
    </xf>
    <xf numFmtId="0" fontId="15" fillId="0" borderId="2" applyAlignment="1" pivotButton="0" quotePrefix="0" xfId="0">
      <alignment vertical="center" wrapText="1"/>
    </xf>
    <xf numFmtId="1" fontId="7" fillId="0" borderId="3" applyAlignment="1" applyProtection="1" pivotButton="0" quotePrefix="0" xfId="0">
      <alignment vertical="center" wrapText="1"/>
      <protection locked="0" hidden="0"/>
    </xf>
    <xf numFmtId="0" fontId="16" fillId="0" borderId="2" applyAlignment="1" pivotButton="0" quotePrefix="0" xfId="0">
      <alignment vertical="center" wrapText="1"/>
    </xf>
    <xf numFmtId="0" fontId="0" fillId="0" borderId="6" pivotButton="0" quotePrefix="0" xfId="0"/>
    <xf numFmtId="0" fontId="15" fillId="10" borderId="2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17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center" vertical="bottom"/>
    </xf>
    <xf numFmtId="0" fontId="20" fillId="3" borderId="5" applyAlignment="1" pivotButton="0" quotePrefix="0" xfId="0">
      <alignment horizontal="center" vertical="center" wrapText="1"/>
    </xf>
    <xf numFmtId="0" fontId="5" fillId="0" borderId="2" pivotButton="0" quotePrefix="0" xfId="0"/>
  </cellXfs>
  <cellStyles count="1">
    <cellStyle name="Normal" xfId="0" builtinId="0" hidden="0"/>
  </cellStyles>
  <dxfs count="9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ont>
        <b val="1"/>
        <color rgb="00FFFFFF"/>
      </font>
      <fill>
        <patternFill patternType="solid">
          <fgColor rgb="007A0019"/>
        </patternFill>
      </fill>
    </dxf>
    <dxf>
      <font>
        <b val="1"/>
        <color rgb="00FFFFFF"/>
      </font>
      <fill>
        <patternFill patternType="solid">
          <fgColor rgb="00B85C00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4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Ativos e criticidade</t>
        </is>
      </c>
      <c r="D1" s="3" t="n"/>
    </row>
    <row r="2" ht="24" customHeight="1">
      <c r="A2" s="4" t="inlineStr">
        <is>
          <t>PCMD-02  ·  Inventário de ativos com TAG e classificação de criticidade A, B, C ou Pendente.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Ativos</t>
        </is>
      </c>
      <c r="C6" s="10" t="inlineStr">
        <is>
          <t>Um ativo por linha, com as cinco notas e a classe calculada.</t>
        </is>
      </c>
      <c r="D6" s="11" t="n"/>
    </row>
    <row r="7" ht="20" customHeight="1">
      <c r="B7" s="9" t="inlineStr">
        <is>
          <t>Critérios</t>
        </is>
      </c>
      <c r="C7" s="10" t="inlineStr">
        <is>
          <t>Limites A/B e significado dos níveis 1, 2 e 3 de cada critério.</t>
        </is>
      </c>
      <c r="D7" s="11" t="n"/>
    </row>
    <row r="8" ht="20" customHeight="1">
      <c r="B8" s="9" t="inlineStr">
        <is>
          <t>Setores</t>
        </is>
      </c>
      <c r="C8" s="10" t="inlineStr">
        <is>
          <t>Siglas de setor usadas na TAG.</t>
        </is>
      </c>
      <c r="D8" s="11" t="n"/>
    </row>
    <row r="9" ht="20" customHeight="1">
      <c r="B9" s="9" t="inlineStr">
        <is>
          <t>Listas</t>
        </is>
      </c>
      <c r="C9" s="10" t="inlineStr">
        <is>
          <t>Tipos de equipamento da biblioteca.</t>
        </is>
      </c>
      <c r="D9" s="11" t="n"/>
    </row>
    <row r="11" ht="22" customHeight="1">
      <c r="B11" s="7" t="inlineStr">
        <is>
          <t>Como preencher</t>
        </is>
      </c>
      <c r="C11" s="8" t="n"/>
      <c r="D11" s="8" t="n"/>
    </row>
    <row r="12" ht="22" customHeight="1">
      <c r="A12" s="12" t="n">
        <v>1</v>
      </c>
      <c r="B12" s="13" t="inlineStr">
        <is>
          <t>Cadastre os Setores e confira os limites em Critérios.</t>
        </is>
      </c>
    </row>
    <row r="13" ht="22" customHeight="1">
      <c r="A13" s="12" t="n">
        <v>2</v>
      </c>
      <c r="B13" s="13" t="inlineStr">
        <is>
          <t>Lance um ativo por linha em Ativos, com ID e TAG.</t>
        </is>
      </c>
    </row>
    <row r="14" ht="22" customHeight="1">
      <c r="A14" s="12" t="n">
        <v>3</v>
      </c>
      <c r="B14" s="13" t="inlineStr">
        <is>
          <t>Dê as cinco notas de 1 a 3; a classe aparece sozinha.</t>
        </is>
      </c>
    </row>
    <row r="16" ht="22" customHeight="1">
      <c r="B16" s="7" t="inlineStr">
        <is>
          <t>Legenda</t>
        </is>
      </c>
      <c r="C16" s="8" t="n"/>
      <c r="D16" s="8" t="n"/>
    </row>
    <row r="17" ht="19" customHeight="1">
      <c r="B17" s="14" t="inlineStr">
        <is>
          <t>PREENCHER</t>
        </is>
      </c>
      <c r="C17" s="15" t="inlineStr">
        <is>
          <t>Cabeçalho azul: digite aqui (texto, número ou data).</t>
        </is>
      </c>
    </row>
    <row r="18" ht="19" customHeight="1">
      <c r="B18" s="14" t="inlineStr">
        <is>
          <t>ID</t>
        </is>
      </c>
      <c r="C18" s="15" t="inlineStr">
        <is>
          <t>Identificador técnico estável. Não troque por TAG, nome ou número de linha.</t>
        </is>
      </c>
    </row>
    <row r="19" ht="19" customHeight="1">
      <c r="B19" s="16" t="inlineStr">
        <is>
          <t>AUTOMÁTICO</t>
        </is>
      </c>
      <c r="C19" s="15" t="inlineStr">
        <is>
          <t>Cabeçalho cinza: fórmula. Não digite; recalcula sozinho.</t>
        </is>
      </c>
    </row>
    <row r="20" ht="19" customHeight="1">
      <c r="B20" s="17" t="inlineStr">
        <is>
          <t>ERRO</t>
        </is>
      </c>
      <c r="C20" s="15" t="inlineStr">
        <is>
          <t>Inconsistência a corrigir.</t>
        </is>
      </c>
    </row>
    <row r="21" ht="19" customHeight="1">
      <c r="B21" s="18" t="inlineStr">
        <is>
          <t>Pendente · Verificar</t>
        </is>
      </c>
      <c r="C21" s="15" t="inlineStr">
        <is>
          <t>Falta informação ou precisa de conferência.</t>
        </is>
      </c>
    </row>
    <row r="22" ht="19" customHeight="1">
      <c r="B22" s="19" t="inlineStr">
        <is>
          <t>OK</t>
        </is>
      </c>
      <c r="C22" s="15" t="inlineStr">
        <is>
          <t>Conferência sem problema.</t>
        </is>
      </c>
    </row>
    <row r="24" ht="22" customHeight="1">
      <c r="B24" s="7" t="inlineStr">
        <is>
          <t>Esta emissão</t>
        </is>
      </c>
      <c r="C24" s="8" t="n"/>
      <c r="D24" s="8" t="n"/>
    </row>
    <row r="25" ht="22" customHeight="1">
      <c r="B25" s="20" t="inlineStr">
        <is>
          <t>Origem dos dados</t>
        </is>
      </c>
      <c r="C25" s="21" t="inlineStr">
        <is>
          <t>Demonstração fictícia gerada com a lógica do PCM Direto (não é exportação do app)</t>
        </is>
      </c>
    </row>
    <row r="26" ht="22" customHeight="1">
      <c r="B26" s="20" t="inlineStr">
        <is>
          <t>Data de emissão</t>
        </is>
      </c>
      <c r="C26" s="22" t="n">
        <v>46318</v>
      </c>
    </row>
    <row r="28" ht="26" customHeight="1">
      <c r="B28" s="23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7">
    <mergeCell ref="B28:D28"/>
    <mergeCell ref="B14:D14"/>
    <mergeCell ref="A3:D3"/>
    <mergeCell ref="B13:D13"/>
    <mergeCell ref="A2:D2"/>
    <mergeCell ref="B12:D12"/>
    <mergeCell ref="B1:C1"/>
  </mergeCells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Ativos'!A1" display="Ativos"/>
    <hyperlink ref="B7" location="'Critérios'!A1" display="Critérios"/>
    <hyperlink ref="B8" location="'Setores'!A1" display="Setores"/>
    <hyperlink ref="B9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width="16" customWidth="1" min="5" max="5"/>
    <col width="16" customWidth="1" min="6" max="6"/>
    <col width="16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9" customWidth="1" min="16" max="16"/>
    <col width="10" customWidth="1" min="17" max="17"/>
    <col width="10" customWidth="1" min="18" max="18"/>
    <col width="30" customWidth="1" min="19" max="19"/>
  </cols>
  <sheetData>
    <row r="1" ht="32" customHeight="1">
      <c r="A1" s="12" t="inlineStr">
        <is>
          <t>PCMD-02</t>
        </is>
      </c>
      <c r="B1" s="3" t="n"/>
      <c r="C1" s="24" t="inlineStr">
        <is>
          <t>Ativos e criticidade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20" customHeight="1">
      <c r="C2" s="25" t="inlineStr">
        <is>
          <t>Uma linha por ativo. Notas inteiras de 1 a 3; nota vazia deixa a classe Pendente. Limites A/B na aba Critérios.</t>
        </is>
      </c>
    </row>
    <row r="3" ht="29.2" customHeight="1">
      <c r="C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D3" s="6" t="n"/>
      <c r="E3" s="6" t="n"/>
      <c r="F3" s="6" t="n"/>
      <c r="G3" s="6" t="n"/>
    </row>
    <row r="4" ht="20" customHeight="1">
      <c r="A4" s="26">
        <f>IF(COUNTA(A307:A2306)&gt;0,"ATENÇÃO: dados além da linha 306","Linhas: "&amp;COUNTA(A7:A306)&amp;" de 300")</f>
        <v/>
      </c>
      <c r="C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K4" s="28">
        <f>"A  "&amp;COUNTIF(R7:R306,"A")</f>
        <v/>
      </c>
      <c r="L4" s="29">
        <f>"B  "&amp;COUNTIF(R7:R306,"B")</f>
        <v/>
      </c>
      <c r="M4" s="30">
        <f>"C  "&amp;COUNTIF(R7:R306,"C")</f>
        <v/>
      </c>
      <c r="N4" s="31">
        <f>"Pendente  "&amp;COUNTIF(R7:R306,"Pendente")</f>
        <v/>
      </c>
    </row>
    <row r="5" ht="14" customHeight="1">
      <c r="A5" s="32" t="inlineStr">
        <is>
          <t>ID</t>
        </is>
      </c>
      <c r="B5" s="32" t="inlineStr">
        <is>
          <t>PREENCHER</t>
        </is>
      </c>
      <c r="C5" s="32" t="inlineStr">
        <is>
          <t>PREENCHER</t>
        </is>
      </c>
      <c r="D5" s="32" t="inlineStr">
        <is>
          <t>PREENCHER</t>
        </is>
      </c>
      <c r="E5" s="33" t="inlineStr">
        <is>
          <t>AUTOMÁTICO</t>
        </is>
      </c>
      <c r="F5" s="32" t="inlineStr">
        <is>
          <t>PREENCHER</t>
        </is>
      </c>
      <c r="G5" s="32" t="inlineStr">
        <is>
          <t>PREENCHER</t>
        </is>
      </c>
      <c r="H5" s="32" t="inlineStr">
        <is>
          <t>PREENCHER</t>
        </is>
      </c>
      <c r="I5" s="32" t="inlineStr">
        <is>
          <t>PREENCHER</t>
        </is>
      </c>
      <c r="J5" s="33" t="inlineStr">
        <is>
          <t>AUTOMÁTICO</t>
        </is>
      </c>
      <c r="K5" s="32" t="inlineStr">
        <is>
          <t>PREENCHER</t>
        </is>
      </c>
      <c r="L5" s="32" t="inlineStr">
        <is>
          <t>PREENCHER</t>
        </is>
      </c>
      <c r="M5" s="32" t="inlineStr">
        <is>
          <t>PREENCHER</t>
        </is>
      </c>
      <c r="N5" s="32" t="inlineStr">
        <is>
          <t>PREENCHER</t>
        </is>
      </c>
      <c r="O5" s="32" t="inlineStr">
        <is>
          <t>PREENCHER</t>
        </is>
      </c>
      <c r="P5" s="33" t="inlineStr">
        <is>
          <t>AUTOMÁTICO</t>
        </is>
      </c>
      <c r="Q5" s="33" t="inlineStr">
        <is>
          <t>AUTOMÁTICO</t>
        </is>
      </c>
      <c r="R5" s="33" t="inlineStr">
        <is>
          <t>AUTOMÁTICO</t>
        </is>
      </c>
      <c r="S5" s="33" t="inlineStr">
        <is>
          <t>AUTOMÁTICO</t>
        </is>
      </c>
    </row>
    <row r="6" ht="45.15" customHeight="1">
      <c r="A6" s="34" t="inlineStr">
        <is>
          <t>ID do ativo</t>
        </is>
      </c>
      <c r="B6" s="34" t="inlineStr">
        <is>
          <t>TAG</t>
        </is>
      </c>
      <c r="C6" s="34" t="inlineStr">
        <is>
          <t>Descrição do equipamento</t>
        </is>
      </c>
      <c r="D6" s="34" t="inlineStr">
        <is>
          <t>Tipo (ID)</t>
        </is>
      </c>
      <c r="E6" s="35" t="inlineStr">
        <is>
          <t>Tipo (nome)</t>
        </is>
      </c>
      <c r="F6" s="34" t="inlineStr">
        <is>
          <t>Fabricante</t>
        </is>
      </c>
      <c r="G6" s="34" t="inlineStr">
        <is>
          <t>Modelo</t>
        </is>
      </c>
      <c r="H6" s="34" t="inlineStr">
        <is>
          <t>Setor (sigla)</t>
        </is>
      </c>
      <c r="I6" s="34" t="inlineStr">
        <is>
          <t>Número</t>
        </is>
      </c>
      <c r="J6" s="35" t="inlineStr">
        <is>
          <t>Conferência da TAG</t>
        </is>
      </c>
      <c r="K6" s="34" t="inlineStr">
        <is>
          <t>N1 Segurança (1–3)</t>
        </is>
      </c>
      <c r="L6" s="34" t="inlineStr">
        <is>
          <t>N2 Qualidade (1–3)</t>
        </is>
      </c>
      <c r="M6" s="34" t="inlineStr">
        <is>
          <t>N3 Produção (1–3)</t>
        </is>
      </c>
      <c r="N6" s="34" t="inlineStr">
        <is>
          <t>N4 Frequência de falha (1–3)</t>
        </is>
      </c>
      <c r="O6" s="34" t="inlineStr">
        <is>
          <t>N5 Custo/tempo de reparo (1–3)</t>
        </is>
      </c>
      <c r="P6" s="35" t="inlineStr">
        <is>
          <t>Notas válidas (de 5)</t>
        </is>
      </c>
      <c r="Q6" s="35" t="inlineStr">
        <is>
          <t>Pontuação (5–15)</t>
        </is>
      </c>
      <c r="R6" s="35" t="inlineStr">
        <is>
          <t>Classe</t>
        </is>
      </c>
      <c r="S6" s="35" t="inlineStr">
        <is>
          <t>Orientação</t>
        </is>
      </c>
    </row>
    <row r="7">
      <c r="A7" s="36" t="inlineStr">
        <is>
          <t>eq-demo-001</t>
        </is>
      </c>
      <c r="B7" s="36" t="inlineStr">
        <is>
          <t>UTL-CMP-001</t>
        </is>
      </c>
      <c r="C7" s="37" t="inlineStr">
        <is>
          <t>Compressor de parafuso da central de ar</t>
        </is>
      </c>
      <c r="D7" s="36" t="inlineStr">
        <is>
          <t>compressor_ar</t>
        </is>
      </c>
      <c r="E7" s="38">
        <f>IF(D7="","",IFERROR(INDEX(lst_tipo_nome,MATCH(D7,lst_tipo_id,0)),"Tipo não cadastrado em Listas"))</f>
        <v/>
      </c>
      <c r="F7" s="36" t="inlineStr">
        <is>
          <t>Fabricante Fictício A</t>
        </is>
      </c>
      <c r="G7" s="36" t="inlineStr">
        <is>
          <t>Modelo Fictício CP-30</t>
        </is>
      </c>
      <c r="H7" s="36" t="inlineStr">
        <is>
          <t>UTL</t>
        </is>
      </c>
      <c r="I7" s="39" t="n">
        <v>1</v>
      </c>
      <c r="J7" s="38">
        <f>IF(OR(B7="",D7="",H7="",I7=""),"",IF(B7=H7&amp;"-"&amp;IFERROR(INDEX(lst_tipo_sigla,MATCH(D7,lst_tipo_id,0)),"???")&amp;"-"&amp;RIGHT("00"&amp;I7,3),"OK","Verificar: TAG difere de setor-sigla-número"))</f>
        <v/>
      </c>
      <c r="K7" s="39" t="n">
        <v>2</v>
      </c>
      <c r="L7" s="39" t="n">
        <v>2</v>
      </c>
      <c r="M7" s="39" t="n">
        <v>3</v>
      </c>
      <c r="N7" s="39" t="n">
        <v>2</v>
      </c>
      <c r="O7" s="39" t="n">
        <v>2</v>
      </c>
      <c r="P7" s="38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38">
        <f>IF(P7=5,SUM(K7:O7),"")</f>
        <v/>
      </c>
      <c r="R7" s="38">
        <f>IF(P7="","",IF(P7&lt;5,"Pendente",IF(NOT(cad_limites_ok),"Pendente",IF(K7=3,"A",IF(Q7&gt;=cad_limite_a,"A",IF(Q7&gt;=cad_limite_b,"B","C"))))))</f>
        <v/>
      </c>
      <c r="S7" s="40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36" t="inlineStr">
        <is>
          <t>eq-demo-002</t>
        </is>
      </c>
      <c r="B8" s="36" t="inlineStr">
        <is>
          <t>UTL-BCF-001</t>
        </is>
      </c>
      <c r="C8" s="37" t="inlineStr">
        <is>
          <t>Bomba de água de resfriamento 1</t>
        </is>
      </c>
      <c r="D8" s="36" t="inlineStr">
        <is>
          <t>bomba_centrifuga</t>
        </is>
      </c>
      <c r="E8" s="38">
        <f>IF(D8="","",IFERROR(INDEX(lst_tipo_nome,MATCH(D8,lst_tipo_id,0)),"Tipo não cadastrado em Listas"))</f>
        <v/>
      </c>
      <c r="F8" s="36" t="inlineStr">
        <is>
          <t>Fabricante Fictício B</t>
        </is>
      </c>
      <c r="G8" s="36" t="inlineStr">
        <is>
          <t>Modelo Fictício BC-50</t>
        </is>
      </c>
      <c r="H8" s="36" t="inlineStr">
        <is>
          <t>UTL</t>
        </is>
      </c>
      <c r="I8" s="39" t="n">
        <v>1</v>
      </c>
      <c r="J8" s="38">
        <f>IF(OR(B8="",D8="",H8="",I8=""),"",IF(B8=H8&amp;"-"&amp;IFERROR(INDEX(lst_tipo_sigla,MATCH(D8,lst_tipo_id,0)),"???")&amp;"-"&amp;RIGHT("00"&amp;I8,3),"OK","Verificar: TAG difere de setor-sigla-número"))</f>
        <v/>
      </c>
      <c r="K8" s="39" t="n">
        <v>1</v>
      </c>
      <c r="L8" s="39" t="n">
        <v>1</v>
      </c>
      <c r="M8" s="39" t="n">
        <v>2</v>
      </c>
      <c r="N8" s="39" t="n">
        <v>1</v>
      </c>
      <c r="O8" s="39" t="n">
        <v>1</v>
      </c>
      <c r="P8" s="38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38">
        <f>IF(P8=5,SUM(K8:O8),"")</f>
        <v/>
      </c>
      <c r="R8" s="38">
        <f>IF(P8="","",IF(P8&lt;5,"Pendente",IF(NOT(cad_limites_ok),"Pendente",IF(K8=3,"A",IF(Q8&gt;=cad_limite_a,"A",IF(Q8&gt;=cad_limite_b,"B","C"))))))</f>
        <v/>
      </c>
      <c r="S8" s="40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36" t="inlineStr">
        <is>
          <t>eq-demo-003</t>
        </is>
      </c>
      <c r="B9" s="36" t="inlineStr">
        <is>
          <t>PRD-MOT-001</t>
        </is>
      </c>
      <c r="C9" s="37" t="inlineStr">
        <is>
          <t>Motor da esteira de alimentação</t>
        </is>
      </c>
      <c r="D9" s="36" t="inlineStr">
        <is>
          <t>motor_eletrico</t>
        </is>
      </c>
      <c r="E9" s="38">
        <f>IF(D9="","",IFERROR(INDEX(lst_tipo_nome,MATCH(D9,lst_tipo_id,0)),"Tipo não cadastrado em Listas"))</f>
        <v/>
      </c>
      <c r="F9" s="36" t="inlineStr">
        <is>
          <t>Fabricante Fictício C</t>
        </is>
      </c>
      <c r="G9" s="36" t="inlineStr">
        <is>
          <t>Modelo Fictício ME-7</t>
        </is>
      </c>
      <c r="H9" s="36" t="inlineStr">
        <is>
          <t>PRD</t>
        </is>
      </c>
      <c r="I9" s="39" t="n">
        <v>1</v>
      </c>
      <c r="J9" s="38">
        <f>IF(OR(B9="",D9="",H9="",I9=""),"",IF(B9=H9&amp;"-"&amp;IFERROR(INDEX(lst_tipo_sigla,MATCH(D9,lst_tipo_id,0)),"???")&amp;"-"&amp;RIGHT("00"&amp;I9,3),"OK","Verificar: TAG difere de setor-sigla-número"))</f>
        <v/>
      </c>
      <c r="K9" s="39" t="n">
        <v>1</v>
      </c>
      <c r="L9" s="39" t="n">
        <v>2</v>
      </c>
      <c r="M9" s="39" t="n"/>
      <c r="N9" s="39" t="n">
        <v>2</v>
      </c>
      <c r="O9" s="39" t="n">
        <v>2</v>
      </c>
      <c r="P9" s="38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38">
        <f>IF(P9=5,SUM(K9:O9),"")</f>
        <v/>
      </c>
      <c r="R9" s="38">
        <f>IF(P9="","",IF(P9&lt;5,"Pendente",IF(NOT(cad_limites_ok),"Pendente",IF(K9=3,"A",IF(Q9&gt;=cad_limite_a,"A",IF(Q9&gt;=cad_limite_b,"B","C"))))))</f>
        <v/>
      </c>
      <c r="S9" s="40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36" t="inlineStr">
        <is>
          <t>eq-demo-004</t>
        </is>
      </c>
      <c r="B10" s="36" t="inlineStr">
        <is>
          <t>PRD-PRL-001</t>
        </is>
      </c>
      <c r="C10" s="37" t="inlineStr">
        <is>
          <t>Ponte rolante do galpão de montagem (5 t)</t>
        </is>
      </c>
      <c r="D10" s="36" t="inlineStr">
        <is>
          <t>ponte_rolante</t>
        </is>
      </c>
      <c r="E10" s="38">
        <f>IF(D10="","",IFERROR(INDEX(lst_tipo_nome,MATCH(D10,lst_tipo_id,0)),"Tipo não cadastrado em Listas"))</f>
        <v/>
      </c>
      <c r="F10" s="36" t="inlineStr">
        <is>
          <t>Fabricante Fictício D</t>
        </is>
      </c>
      <c r="G10" s="36" t="inlineStr">
        <is>
          <t>Modelo Fictício PR-5</t>
        </is>
      </c>
      <c r="H10" s="36" t="inlineStr">
        <is>
          <t>PRD</t>
        </is>
      </c>
      <c r="I10" s="39" t="n">
        <v>1</v>
      </c>
      <c r="J10" s="38">
        <f>IF(OR(B10="",D10="",H10="",I10=""),"",IF(B10=H10&amp;"-"&amp;IFERROR(INDEX(lst_tipo_sigla,MATCH(D10,lst_tipo_id,0)),"???")&amp;"-"&amp;RIGHT("00"&amp;I10,3),"OK","Verificar: TAG difere de setor-sigla-número"))</f>
        <v/>
      </c>
      <c r="K10" s="39" t="n">
        <v>3</v>
      </c>
      <c r="L10" s="39" t="n">
        <v>1</v>
      </c>
      <c r="M10" s="39" t="n">
        <v>1</v>
      </c>
      <c r="N10" s="39" t="n">
        <v>1</v>
      </c>
      <c r="O10" s="39" t="n">
        <v>1</v>
      </c>
      <c r="P10" s="38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38">
        <f>IF(P10=5,SUM(K10:O10),"")</f>
        <v/>
      </c>
      <c r="R10" s="38">
        <f>IF(P10="","",IF(P10&lt;5,"Pendente",IF(NOT(cad_limites_ok),"Pendente",IF(K10=3,"A",IF(Q10&gt;=cad_limite_a,"A",IF(Q10&gt;=cad_limite_b,"B","C"))))))</f>
        <v/>
      </c>
      <c r="S10" s="40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36" t="n"/>
      <c r="B11" s="36" t="n"/>
      <c r="C11" s="37" t="n"/>
      <c r="D11" s="36" t="n"/>
      <c r="E11" s="38">
        <f>IF(D11="","",IFERROR(INDEX(lst_tipo_nome,MATCH(D11,lst_tipo_id,0)),"Tipo não cadastrado em Listas"))</f>
        <v/>
      </c>
      <c r="F11" s="36" t="n"/>
      <c r="G11" s="36" t="n"/>
      <c r="H11" s="36" t="n"/>
      <c r="I11" s="39" t="n"/>
      <c r="J11" s="38">
        <f>IF(OR(B11="",D11="",H11="",I11=""),"",IF(B11=H11&amp;"-"&amp;IFERROR(INDEX(lst_tipo_sigla,MATCH(D11,lst_tipo_id,0)),"???")&amp;"-"&amp;RIGHT("00"&amp;I11,3),"OK","Verificar: TAG difere de setor-sigla-número"))</f>
        <v/>
      </c>
      <c r="K11" s="39" t="n"/>
      <c r="L11" s="39" t="n"/>
      <c r="M11" s="39" t="n"/>
      <c r="N11" s="39" t="n"/>
      <c r="O11" s="39" t="n"/>
      <c r="P11" s="38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38">
        <f>IF(P11=5,SUM(K11:O11),"")</f>
        <v/>
      </c>
      <c r="R11" s="38">
        <f>IF(P11="","",IF(P11&lt;5,"Pendente",IF(NOT(cad_limites_ok),"Pendente",IF(K11=3,"A",IF(Q11&gt;=cad_limite_a,"A",IF(Q11&gt;=cad_limite_b,"B","C"))))))</f>
        <v/>
      </c>
      <c r="S11" s="40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36" t="n"/>
      <c r="B12" s="36" t="n"/>
      <c r="C12" s="37" t="n"/>
      <c r="D12" s="36" t="n"/>
      <c r="E12" s="38">
        <f>IF(D12="","",IFERROR(INDEX(lst_tipo_nome,MATCH(D12,lst_tipo_id,0)),"Tipo não cadastrado em Listas"))</f>
        <v/>
      </c>
      <c r="F12" s="36" t="n"/>
      <c r="G12" s="36" t="n"/>
      <c r="H12" s="36" t="n"/>
      <c r="I12" s="39" t="n"/>
      <c r="J12" s="38">
        <f>IF(OR(B12="",D12="",H12="",I12=""),"",IF(B12=H12&amp;"-"&amp;IFERROR(INDEX(lst_tipo_sigla,MATCH(D12,lst_tipo_id,0)),"???")&amp;"-"&amp;RIGHT("00"&amp;I12,3),"OK","Verificar: TAG difere de setor-sigla-número"))</f>
        <v/>
      </c>
      <c r="K12" s="39" t="n"/>
      <c r="L12" s="39" t="n"/>
      <c r="M12" s="39" t="n"/>
      <c r="N12" s="39" t="n"/>
      <c r="O12" s="39" t="n"/>
      <c r="P12" s="38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38">
        <f>IF(P12=5,SUM(K12:O12),"")</f>
        <v/>
      </c>
      <c r="R12" s="38">
        <f>IF(P12="","",IF(P12&lt;5,"Pendente",IF(NOT(cad_limites_ok),"Pendente",IF(K12=3,"A",IF(Q12&gt;=cad_limite_a,"A",IF(Q12&gt;=cad_limite_b,"B","C"))))))</f>
        <v/>
      </c>
      <c r="S12" s="40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36" t="n"/>
      <c r="B13" s="36" t="n"/>
      <c r="C13" s="37" t="n"/>
      <c r="D13" s="36" t="n"/>
      <c r="E13" s="38">
        <f>IF(D13="","",IFERROR(INDEX(lst_tipo_nome,MATCH(D13,lst_tipo_id,0)),"Tipo não cadastrado em Listas"))</f>
        <v/>
      </c>
      <c r="F13" s="36" t="n"/>
      <c r="G13" s="36" t="n"/>
      <c r="H13" s="36" t="n"/>
      <c r="I13" s="39" t="n"/>
      <c r="J13" s="38">
        <f>IF(OR(B13="",D13="",H13="",I13=""),"",IF(B13=H13&amp;"-"&amp;IFERROR(INDEX(lst_tipo_sigla,MATCH(D13,lst_tipo_id,0)),"???")&amp;"-"&amp;RIGHT("00"&amp;I13,3),"OK","Verificar: TAG difere de setor-sigla-número"))</f>
        <v/>
      </c>
      <c r="K13" s="39" t="n"/>
      <c r="L13" s="39" t="n"/>
      <c r="M13" s="39" t="n"/>
      <c r="N13" s="39" t="n"/>
      <c r="O13" s="39" t="n"/>
      <c r="P13" s="38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38">
        <f>IF(P13=5,SUM(K13:O13),"")</f>
        <v/>
      </c>
      <c r="R13" s="38">
        <f>IF(P13="","",IF(P13&lt;5,"Pendente",IF(NOT(cad_limites_ok),"Pendente",IF(K13=3,"A",IF(Q13&gt;=cad_limite_a,"A",IF(Q13&gt;=cad_limite_b,"B","C"))))))</f>
        <v/>
      </c>
      <c r="S13" s="40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36" t="n"/>
      <c r="B14" s="36" t="n"/>
      <c r="C14" s="37" t="n"/>
      <c r="D14" s="36" t="n"/>
      <c r="E14" s="38">
        <f>IF(D14="","",IFERROR(INDEX(lst_tipo_nome,MATCH(D14,lst_tipo_id,0)),"Tipo não cadastrado em Listas"))</f>
        <v/>
      </c>
      <c r="F14" s="36" t="n"/>
      <c r="G14" s="36" t="n"/>
      <c r="H14" s="36" t="n"/>
      <c r="I14" s="39" t="n"/>
      <c r="J14" s="38">
        <f>IF(OR(B14="",D14="",H14="",I14=""),"",IF(B14=H14&amp;"-"&amp;IFERROR(INDEX(lst_tipo_sigla,MATCH(D14,lst_tipo_id,0)),"???")&amp;"-"&amp;RIGHT("00"&amp;I14,3),"OK","Verificar: TAG difere de setor-sigla-número"))</f>
        <v/>
      </c>
      <c r="K14" s="39" t="n"/>
      <c r="L14" s="39" t="n"/>
      <c r="M14" s="39" t="n"/>
      <c r="N14" s="39" t="n"/>
      <c r="O14" s="39" t="n"/>
      <c r="P14" s="38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38">
        <f>IF(P14=5,SUM(K14:O14),"")</f>
        <v/>
      </c>
      <c r="R14" s="38">
        <f>IF(P14="","",IF(P14&lt;5,"Pendente",IF(NOT(cad_limites_ok),"Pendente",IF(K14=3,"A",IF(Q14&gt;=cad_limite_a,"A",IF(Q14&gt;=cad_limite_b,"B","C"))))))</f>
        <v/>
      </c>
      <c r="S14" s="40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36" t="n"/>
      <c r="B15" s="36" t="n"/>
      <c r="C15" s="37" t="n"/>
      <c r="D15" s="36" t="n"/>
      <c r="E15" s="38">
        <f>IF(D15="","",IFERROR(INDEX(lst_tipo_nome,MATCH(D15,lst_tipo_id,0)),"Tipo não cadastrado em Listas"))</f>
        <v/>
      </c>
      <c r="F15" s="36" t="n"/>
      <c r="G15" s="36" t="n"/>
      <c r="H15" s="36" t="n"/>
      <c r="I15" s="39" t="n"/>
      <c r="J15" s="38">
        <f>IF(OR(B15="",D15="",H15="",I15=""),"",IF(B15=H15&amp;"-"&amp;IFERROR(INDEX(lst_tipo_sigla,MATCH(D15,lst_tipo_id,0)),"???")&amp;"-"&amp;RIGHT("00"&amp;I15,3),"OK","Verificar: TAG difere de setor-sigla-número"))</f>
        <v/>
      </c>
      <c r="K15" s="39" t="n"/>
      <c r="L15" s="39" t="n"/>
      <c r="M15" s="39" t="n"/>
      <c r="N15" s="39" t="n"/>
      <c r="O15" s="39" t="n"/>
      <c r="P15" s="38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38">
        <f>IF(P15=5,SUM(K15:O15),"")</f>
        <v/>
      </c>
      <c r="R15" s="38">
        <f>IF(P15="","",IF(P15&lt;5,"Pendente",IF(NOT(cad_limites_ok),"Pendente",IF(K15=3,"A",IF(Q15&gt;=cad_limite_a,"A",IF(Q15&gt;=cad_limite_b,"B","C"))))))</f>
        <v/>
      </c>
      <c r="S15" s="40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36" t="n"/>
      <c r="B16" s="36" t="n"/>
      <c r="C16" s="37" t="n"/>
      <c r="D16" s="36" t="n"/>
      <c r="E16" s="38">
        <f>IF(D16="","",IFERROR(INDEX(lst_tipo_nome,MATCH(D16,lst_tipo_id,0)),"Tipo não cadastrado em Listas"))</f>
        <v/>
      </c>
      <c r="F16" s="36" t="n"/>
      <c r="G16" s="36" t="n"/>
      <c r="H16" s="36" t="n"/>
      <c r="I16" s="39" t="n"/>
      <c r="J16" s="38">
        <f>IF(OR(B16="",D16="",H16="",I16=""),"",IF(B16=H16&amp;"-"&amp;IFERROR(INDEX(lst_tipo_sigla,MATCH(D16,lst_tipo_id,0)),"???")&amp;"-"&amp;RIGHT("00"&amp;I16,3),"OK","Verificar: TAG difere de setor-sigla-número"))</f>
        <v/>
      </c>
      <c r="K16" s="39" t="n"/>
      <c r="L16" s="39" t="n"/>
      <c r="M16" s="39" t="n"/>
      <c r="N16" s="39" t="n"/>
      <c r="O16" s="39" t="n"/>
      <c r="P16" s="38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38">
        <f>IF(P16=5,SUM(K16:O16),"")</f>
        <v/>
      </c>
      <c r="R16" s="38">
        <f>IF(P16="","",IF(P16&lt;5,"Pendente",IF(NOT(cad_limites_ok),"Pendente",IF(K16=3,"A",IF(Q16&gt;=cad_limite_a,"A",IF(Q16&gt;=cad_limite_b,"B","C"))))))</f>
        <v/>
      </c>
      <c r="S16" s="40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36" t="n"/>
      <c r="B17" s="36" t="n"/>
      <c r="C17" s="37" t="n"/>
      <c r="D17" s="36" t="n"/>
      <c r="E17" s="38">
        <f>IF(D17="","",IFERROR(INDEX(lst_tipo_nome,MATCH(D17,lst_tipo_id,0)),"Tipo não cadastrado em Listas"))</f>
        <v/>
      </c>
      <c r="F17" s="36" t="n"/>
      <c r="G17" s="36" t="n"/>
      <c r="H17" s="36" t="n"/>
      <c r="I17" s="39" t="n"/>
      <c r="J17" s="38">
        <f>IF(OR(B17="",D17="",H17="",I17=""),"",IF(B17=H17&amp;"-"&amp;IFERROR(INDEX(lst_tipo_sigla,MATCH(D17,lst_tipo_id,0)),"???")&amp;"-"&amp;RIGHT("00"&amp;I17,3),"OK","Verificar: TAG difere de setor-sigla-número"))</f>
        <v/>
      </c>
      <c r="K17" s="39" t="n"/>
      <c r="L17" s="39" t="n"/>
      <c r="M17" s="39" t="n"/>
      <c r="N17" s="39" t="n"/>
      <c r="O17" s="39" t="n"/>
      <c r="P17" s="38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38">
        <f>IF(P17=5,SUM(K17:O17),"")</f>
        <v/>
      </c>
      <c r="R17" s="38">
        <f>IF(P17="","",IF(P17&lt;5,"Pendente",IF(NOT(cad_limites_ok),"Pendente",IF(K17=3,"A",IF(Q17&gt;=cad_limite_a,"A",IF(Q17&gt;=cad_limite_b,"B","C"))))))</f>
        <v/>
      </c>
      <c r="S17" s="40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36" t="n"/>
      <c r="B18" s="36" t="n"/>
      <c r="C18" s="37" t="n"/>
      <c r="D18" s="36" t="n"/>
      <c r="E18" s="38">
        <f>IF(D18="","",IFERROR(INDEX(lst_tipo_nome,MATCH(D18,lst_tipo_id,0)),"Tipo não cadastrado em Listas"))</f>
        <v/>
      </c>
      <c r="F18" s="36" t="n"/>
      <c r="G18" s="36" t="n"/>
      <c r="H18" s="36" t="n"/>
      <c r="I18" s="39" t="n"/>
      <c r="J18" s="38">
        <f>IF(OR(B18="",D18="",H18="",I18=""),"",IF(B18=H18&amp;"-"&amp;IFERROR(INDEX(lst_tipo_sigla,MATCH(D18,lst_tipo_id,0)),"???")&amp;"-"&amp;RIGHT("00"&amp;I18,3),"OK","Verificar: TAG difere de setor-sigla-número"))</f>
        <v/>
      </c>
      <c r="K18" s="39" t="n"/>
      <c r="L18" s="39" t="n"/>
      <c r="M18" s="39" t="n"/>
      <c r="N18" s="39" t="n"/>
      <c r="O18" s="39" t="n"/>
      <c r="P18" s="38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38">
        <f>IF(P18=5,SUM(K18:O18),"")</f>
        <v/>
      </c>
      <c r="R18" s="38">
        <f>IF(P18="","",IF(P18&lt;5,"Pendente",IF(NOT(cad_limites_ok),"Pendente",IF(K18=3,"A",IF(Q18&gt;=cad_limite_a,"A",IF(Q18&gt;=cad_limite_b,"B","C"))))))</f>
        <v/>
      </c>
      <c r="S18" s="40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36" t="n"/>
      <c r="B19" s="36" t="n"/>
      <c r="C19" s="37" t="n"/>
      <c r="D19" s="36" t="n"/>
      <c r="E19" s="38">
        <f>IF(D19="","",IFERROR(INDEX(lst_tipo_nome,MATCH(D19,lst_tipo_id,0)),"Tipo não cadastrado em Listas"))</f>
        <v/>
      </c>
      <c r="F19" s="36" t="n"/>
      <c r="G19" s="36" t="n"/>
      <c r="H19" s="36" t="n"/>
      <c r="I19" s="39" t="n"/>
      <c r="J19" s="38">
        <f>IF(OR(B19="",D19="",H19="",I19=""),"",IF(B19=H19&amp;"-"&amp;IFERROR(INDEX(lst_tipo_sigla,MATCH(D19,lst_tipo_id,0)),"???")&amp;"-"&amp;RIGHT("00"&amp;I19,3),"OK","Verificar: TAG difere de setor-sigla-número"))</f>
        <v/>
      </c>
      <c r="K19" s="39" t="n"/>
      <c r="L19" s="39" t="n"/>
      <c r="M19" s="39" t="n"/>
      <c r="N19" s="39" t="n"/>
      <c r="O19" s="39" t="n"/>
      <c r="P19" s="38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38">
        <f>IF(P19=5,SUM(K19:O19),"")</f>
        <v/>
      </c>
      <c r="R19" s="38">
        <f>IF(P19="","",IF(P19&lt;5,"Pendente",IF(NOT(cad_limites_ok),"Pendente",IF(K19=3,"A",IF(Q19&gt;=cad_limite_a,"A",IF(Q19&gt;=cad_limite_b,"B","C"))))))</f>
        <v/>
      </c>
      <c r="S19" s="40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36" t="n"/>
      <c r="B20" s="36" t="n"/>
      <c r="C20" s="37" t="n"/>
      <c r="D20" s="36" t="n"/>
      <c r="E20" s="38">
        <f>IF(D20="","",IFERROR(INDEX(lst_tipo_nome,MATCH(D20,lst_tipo_id,0)),"Tipo não cadastrado em Listas"))</f>
        <v/>
      </c>
      <c r="F20" s="36" t="n"/>
      <c r="G20" s="36" t="n"/>
      <c r="H20" s="36" t="n"/>
      <c r="I20" s="39" t="n"/>
      <c r="J20" s="38">
        <f>IF(OR(B20="",D20="",H20="",I20=""),"",IF(B20=H20&amp;"-"&amp;IFERROR(INDEX(lst_tipo_sigla,MATCH(D20,lst_tipo_id,0)),"???")&amp;"-"&amp;RIGHT("00"&amp;I20,3),"OK","Verificar: TAG difere de setor-sigla-número"))</f>
        <v/>
      </c>
      <c r="K20" s="39" t="n"/>
      <c r="L20" s="39" t="n"/>
      <c r="M20" s="39" t="n"/>
      <c r="N20" s="39" t="n"/>
      <c r="O20" s="39" t="n"/>
      <c r="P20" s="38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38">
        <f>IF(P20=5,SUM(K20:O20),"")</f>
        <v/>
      </c>
      <c r="R20" s="38">
        <f>IF(P20="","",IF(P20&lt;5,"Pendente",IF(NOT(cad_limites_ok),"Pendente",IF(K20=3,"A",IF(Q20&gt;=cad_limite_a,"A",IF(Q20&gt;=cad_limite_b,"B","C"))))))</f>
        <v/>
      </c>
      <c r="S20" s="40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36" t="n"/>
      <c r="B21" s="36" t="n"/>
      <c r="C21" s="37" t="n"/>
      <c r="D21" s="36" t="n"/>
      <c r="E21" s="38">
        <f>IF(D21="","",IFERROR(INDEX(lst_tipo_nome,MATCH(D21,lst_tipo_id,0)),"Tipo não cadastrado em Listas"))</f>
        <v/>
      </c>
      <c r="F21" s="36" t="n"/>
      <c r="G21" s="36" t="n"/>
      <c r="H21" s="36" t="n"/>
      <c r="I21" s="39" t="n"/>
      <c r="J21" s="38">
        <f>IF(OR(B21="",D21="",H21="",I21=""),"",IF(B21=H21&amp;"-"&amp;IFERROR(INDEX(lst_tipo_sigla,MATCH(D21,lst_tipo_id,0)),"???")&amp;"-"&amp;RIGHT("00"&amp;I21,3),"OK","Verificar: TAG difere de setor-sigla-número"))</f>
        <v/>
      </c>
      <c r="K21" s="39" t="n"/>
      <c r="L21" s="39" t="n"/>
      <c r="M21" s="39" t="n"/>
      <c r="N21" s="39" t="n"/>
      <c r="O21" s="39" t="n"/>
      <c r="P21" s="38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38">
        <f>IF(P21=5,SUM(K21:O21),"")</f>
        <v/>
      </c>
      <c r="R21" s="38">
        <f>IF(P21="","",IF(P21&lt;5,"Pendente",IF(NOT(cad_limites_ok),"Pendente",IF(K21=3,"A",IF(Q21&gt;=cad_limite_a,"A",IF(Q21&gt;=cad_limite_b,"B","C"))))))</f>
        <v/>
      </c>
      <c r="S21" s="40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36" t="n"/>
      <c r="B22" s="36" t="n"/>
      <c r="C22" s="37" t="n"/>
      <c r="D22" s="36" t="n"/>
      <c r="E22" s="38">
        <f>IF(D22="","",IFERROR(INDEX(lst_tipo_nome,MATCH(D22,lst_tipo_id,0)),"Tipo não cadastrado em Listas"))</f>
        <v/>
      </c>
      <c r="F22" s="36" t="n"/>
      <c r="G22" s="36" t="n"/>
      <c r="H22" s="36" t="n"/>
      <c r="I22" s="39" t="n"/>
      <c r="J22" s="38">
        <f>IF(OR(B22="",D22="",H22="",I22=""),"",IF(B22=H22&amp;"-"&amp;IFERROR(INDEX(lst_tipo_sigla,MATCH(D22,lst_tipo_id,0)),"???")&amp;"-"&amp;RIGHT("00"&amp;I22,3),"OK","Verificar: TAG difere de setor-sigla-número"))</f>
        <v/>
      </c>
      <c r="K22" s="39" t="n"/>
      <c r="L22" s="39" t="n"/>
      <c r="M22" s="39" t="n"/>
      <c r="N22" s="39" t="n"/>
      <c r="O22" s="39" t="n"/>
      <c r="P22" s="38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38">
        <f>IF(P22=5,SUM(K22:O22),"")</f>
        <v/>
      </c>
      <c r="R22" s="38">
        <f>IF(P22="","",IF(P22&lt;5,"Pendente",IF(NOT(cad_limites_ok),"Pendente",IF(K22=3,"A",IF(Q22&gt;=cad_limite_a,"A",IF(Q22&gt;=cad_limite_b,"B","C"))))))</f>
        <v/>
      </c>
      <c r="S22" s="40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36" t="n"/>
      <c r="B23" s="36" t="n"/>
      <c r="C23" s="37" t="n"/>
      <c r="D23" s="36" t="n"/>
      <c r="E23" s="38">
        <f>IF(D23="","",IFERROR(INDEX(lst_tipo_nome,MATCH(D23,lst_tipo_id,0)),"Tipo não cadastrado em Listas"))</f>
        <v/>
      </c>
      <c r="F23" s="36" t="n"/>
      <c r="G23" s="36" t="n"/>
      <c r="H23" s="36" t="n"/>
      <c r="I23" s="39" t="n"/>
      <c r="J23" s="38">
        <f>IF(OR(B23="",D23="",H23="",I23=""),"",IF(B23=H23&amp;"-"&amp;IFERROR(INDEX(lst_tipo_sigla,MATCH(D23,lst_tipo_id,0)),"???")&amp;"-"&amp;RIGHT("00"&amp;I23,3),"OK","Verificar: TAG difere de setor-sigla-número"))</f>
        <v/>
      </c>
      <c r="K23" s="39" t="n"/>
      <c r="L23" s="39" t="n"/>
      <c r="M23" s="39" t="n"/>
      <c r="N23" s="39" t="n"/>
      <c r="O23" s="39" t="n"/>
      <c r="P23" s="38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38">
        <f>IF(P23=5,SUM(K23:O23),"")</f>
        <v/>
      </c>
      <c r="R23" s="38">
        <f>IF(P23="","",IF(P23&lt;5,"Pendente",IF(NOT(cad_limites_ok),"Pendente",IF(K23=3,"A",IF(Q23&gt;=cad_limite_a,"A",IF(Q23&gt;=cad_limite_b,"B","C"))))))</f>
        <v/>
      </c>
      <c r="S23" s="40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36" t="n"/>
      <c r="B24" s="36" t="n"/>
      <c r="C24" s="37" t="n"/>
      <c r="D24" s="36" t="n"/>
      <c r="E24" s="38">
        <f>IF(D24="","",IFERROR(INDEX(lst_tipo_nome,MATCH(D24,lst_tipo_id,0)),"Tipo não cadastrado em Listas"))</f>
        <v/>
      </c>
      <c r="F24" s="36" t="n"/>
      <c r="G24" s="36" t="n"/>
      <c r="H24" s="36" t="n"/>
      <c r="I24" s="39" t="n"/>
      <c r="J24" s="38">
        <f>IF(OR(B24="",D24="",H24="",I24=""),"",IF(B24=H24&amp;"-"&amp;IFERROR(INDEX(lst_tipo_sigla,MATCH(D24,lst_tipo_id,0)),"???")&amp;"-"&amp;RIGHT("00"&amp;I24,3),"OK","Verificar: TAG difere de setor-sigla-número"))</f>
        <v/>
      </c>
      <c r="K24" s="39" t="n"/>
      <c r="L24" s="39" t="n"/>
      <c r="M24" s="39" t="n"/>
      <c r="N24" s="39" t="n"/>
      <c r="O24" s="39" t="n"/>
      <c r="P24" s="38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38">
        <f>IF(P24=5,SUM(K24:O24),"")</f>
        <v/>
      </c>
      <c r="R24" s="38">
        <f>IF(P24="","",IF(P24&lt;5,"Pendente",IF(NOT(cad_limites_ok),"Pendente",IF(K24=3,"A",IF(Q24&gt;=cad_limite_a,"A",IF(Q24&gt;=cad_limite_b,"B","C"))))))</f>
        <v/>
      </c>
      <c r="S24" s="40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36" t="n"/>
      <c r="B25" s="36" t="n"/>
      <c r="C25" s="37" t="n"/>
      <c r="D25" s="36" t="n"/>
      <c r="E25" s="38">
        <f>IF(D25="","",IFERROR(INDEX(lst_tipo_nome,MATCH(D25,lst_tipo_id,0)),"Tipo não cadastrado em Listas"))</f>
        <v/>
      </c>
      <c r="F25" s="36" t="n"/>
      <c r="G25" s="36" t="n"/>
      <c r="H25" s="36" t="n"/>
      <c r="I25" s="39" t="n"/>
      <c r="J25" s="38">
        <f>IF(OR(B25="",D25="",H25="",I25=""),"",IF(B25=H25&amp;"-"&amp;IFERROR(INDEX(lst_tipo_sigla,MATCH(D25,lst_tipo_id,0)),"???")&amp;"-"&amp;RIGHT("00"&amp;I25,3),"OK","Verificar: TAG difere de setor-sigla-número"))</f>
        <v/>
      </c>
      <c r="K25" s="39" t="n"/>
      <c r="L25" s="39" t="n"/>
      <c r="M25" s="39" t="n"/>
      <c r="N25" s="39" t="n"/>
      <c r="O25" s="39" t="n"/>
      <c r="P25" s="38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38">
        <f>IF(P25=5,SUM(K25:O25),"")</f>
        <v/>
      </c>
      <c r="R25" s="38">
        <f>IF(P25="","",IF(P25&lt;5,"Pendente",IF(NOT(cad_limites_ok),"Pendente",IF(K25=3,"A",IF(Q25&gt;=cad_limite_a,"A",IF(Q25&gt;=cad_limite_b,"B","C"))))))</f>
        <v/>
      </c>
      <c r="S25" s="40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36" t="n"/>
      <c r="B26" s="36" t="n"/>
      <c r="C26" s="37" t="n"/>
      <c r="D26" s="36" t="n"/>
      <c r="E26" s="38">
        <f>IF(D26="","",IFERROR(INDEX(lst_tipo_nome,MATCH(D26,lst_tipo_id,0)),"Tipo não cadastrado em Listas"))</f>
        <v/>
      </c>
      <c r="F26" s="36" t="n"/>
      <c r="G26" s="36" t="n"/>
      <c r="H26" s="36" t="n"/>
      <c r="I26" s="39" t="n"/>
      <c r="J26" s="38">
        <f>IF(OR(B26="",D26="",H26="",I26=""),"",IF(B26=H26&amp;"-"&amp;IFERROR(INDEX(lst_tipo_sigla,MATCH(D26,lst_tipo_id,0)),"???")&amp;"-"&amp;RIGHT("00"&amp;I26,3),"OK","Verificar: TAG difere de setor-sigla-número"))</f>
        <v/>
      </c>
      <c r="K26" s="39" t="n"/>
      <c r="L26" s="39" t="n"/>
      <c r="M26" s="39" t="n"/>
      <c r="N26" s="39" t="n"/>
      <c r="O26" s="39" t="n"/>
      <c r="P26" s="38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38">
        <f>IF(P26=5,SUM(K26:O26),"")</f>
        <v/>
      </c>
      <c r="R26" s="38">
        <f>IF(P26="","",IF(P26&lt;5,"Pendente",IF(NOT(cad_limites_ok),"Pendente",IF(K26=3,"A",IF(Q26&gt;=cad_limite_a,"A",IF(Q26&gt;=cad_limite_b,"B","C"))))))</f>
        <v/>
      </c>
      <c r="S26" s="40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36" t="n"/>
      <c r="B27" s="36" t="n"/>
      <c r="C27" s="37" t="n"/>
      <c r="D27" s="36" t="n"/>
      <c r="E27" s="38">
        <f>IF(D27="","",IFERROR(INDEX(lst_tipo_nome,MATCH(D27,lst_tipo_id,0)),"Tipo não cadastrado em Listas"))</f>
        <v/>
      </c>
      <c r="F27" s="36" t="n"/>
      <c r="G27" s="36" t="n"/>
      <c r="H27" s="36" t="n"/>
      <c r="I27" s="39" t="n"/>
      <c r="J27" s="38">
        <f>IF(OR(B27="",D27="",H27="",I27=""),"",IF(B27=H27&amp;"-"&amp;IFERROR(INDEX(lst_tipo_sigla,MATCH(D27,lst_tipo_id,0)),"???")&amp;"-"&amp;RIGHT("00"&amp;I27,3),"OK","Verificar: TAG difere de setor-sigla-número"))</f>
        <v/>
      </c>
      <c r="K27" s="39" t="n"/>
      <c r="L27" s="39" t="n"/>
      <c r="M27" s="39" t="n"/>
      <c r="N27" s="39" t="n"/>
      <c r="O27" s="39" t="n"/>
      <c r="P27" s="38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38">
        <f>IF(P27=5,SUM(K27:O27),"")</f>
        <v/>
      </c>
      <c r="R27" s="38">
        <f>IF(P27="","",IF(P27&lt;5,"Pendente",IF(NOT(cad_limites_ok),"Pendente",IF(K27=3,"A",IF(Q27&gt;=cad_limite_a,"A",IF(Q27&gt;=cad_limite_b,"B","C"))))))</f>
        <v/>
      </c>
      <c r="S27" s="40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36" t="n"/>
      <c r="B28" s="36" t="n"/>
      <c r="C28" s="37" t="n"/>
      <c r="D28" s="36" t="n"/>
      <c r="E28" s="38">
        <f>IF(D28="","",IFERROR(INDEX(lst_tipo_nome,MATCH(D28,lst_tipo_id,0)),"Tipo não cadastrado em Listas"))</f>
        <v/>
      </c>
      <c r="F28" s="36" t="n"/>
      <c r="G28" s="36" t="n"/>
      <c r="H28" s="36" t="n"/>
      <c r="I28" s="39" t="n"/>
      <c r="J28" s="38">
        <f>IF(OR(B28="",D28="",H28="",I28=""),"",IF(B28=H28&amp;"-"&amp;IFERROR(INDEX(lst_tipo_sigla,MATCH(D28,lst_tipo_id,0)),"???")&amp;"-"&amp;RIGHT("00"&amp;I28,3),"OK","Verificar: TAG difere de setor-sigla-número"))</f>
        <v/>
      </c>
      <c r="K28" s="39" t="n"/>
      <c r="L28" s="39" t="n"/>
      <c r="M28" s="39" t="n"/>
      <c r="N28" s="39" t="n"/>
      <c r="O28" s="39" t="n"/>
      <c r="P28" s="38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38">
        <f>IF(P28=5,SUM(K28:O28),"")</f>
        <v/>
      </c>
      <c r="R28" s="38">
        <f>IF(P28="","",IF(P28&lt;5,"Pendente",IF(NOT(cad_limites_ok),"Pendente",IF(K28=3,"A",IF(Q28&gt;=cad_limite_a,"A",IF(Q28&gt;=cad_limite_b,"B","C"))))))</f>
        <v/>
      </c>
      <c r="S28" s="40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36" t="n"/>
      <c r="B29" s="36" t="n"/>
      <c r="C29" s="37" t="n"/>
      <c r="D29" s="36" t="n"/>
      <c r="E29" s="38">
        <f>IF(D29="","",IFERROR(INDEX(lst_tipo_nome,MATCH(D29,lst_tipo_id,0)),"Tipo não cadastrado em Listas"))</f>
        <v/>
      </c>
      <c r="F29" s="36" t="n"/>
      <c r="G29" s="36" t="n"/>
      <c r="H29" s="36" t="n"/>
      <c r="I29" s="39" t="n"/>
      <c r="J29" s="38">
        <f>IF(OR(B29="",D29="",H29="",I29=""),"",IF(B29=H29&amp;"-"&amp;IFERROR(INDEX(lst_tipo_sigla,MATCH(D29,lst_tipo_id,0)),"???")&amp;"-"&amp;RIGHT("00"&amp;I29,3),"OK","Verificar: TAG difere de setor-sigla-número"))</f>
        <v/>
      </c>
      <c r="K29" s="39" t="n"/>
      <c r="L29" s="39" t="n"/>
      <c r="M29" s="39" t="n"/>
      <c r="N29" s="39" t="n"/>
      <c r="O29" s="39" t="n"/>
      <c r="P29" s="38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38">
        <f>IF(P29=5,SUM(K29:O29),"")</f>
        <v/>
      </c>
      <c r="R29" s="38">
        <f>IF(P29="","",IF(P29&lt;5,"Pendente",IF(NOT(cad_limites_ok),"Pendente",IF(K29=3,"A",IF(Q29&gt;=cad_limite_a,"A",IF(Q29&gt;=cad_limite_b,"B","C"))))))</f>
        <v/>
      </c>
      <c r="S29" s="40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36" t="n"/>
      <c r="B30" s="36" t="n"/>
      <c r="C30" s="37" t="n"/>
      <c r="D30" s="36" t="n"/>
      <c r="E30" s="38">
        <f>IF(D30="","",IFERROR(INDEX(lst_tipo_nome,MATCH(D30,lst_tipo_id,0)),"Tipo não cadastrado em Listas"))</f>
        <v/>
      </c>
      <c r="F30" s="36" t="n"/>
      <c r="G30" s="36" t="n"/>
      <c r="H30" s="36" t="n"/>
      <c r="I30" s="39" t="n"/>
      <c r="J30" s="38">
        <f>IF(OR(B30="",D30="",H30="",I30=""),"",IF(B30=H30&amp;"-"&amp;IFERROR(INDEX(lst_tipo_sigla,MATCH(D30,lst_tipo_id,0)),"???")&amp;"-"&amp;RIGHT("00"&amp;I30,3),"OK","Verificar: TAG difere de setor-sigla-número"))</f>
        <v/>
      </c>
      <c r="K30" s="39" t="n"/>
      <c r="L30" s="39" t="n"/>
      <c r="M30" s="39" t="n"/>
      <c r="N30" s="39" t="n"/>
      <c r="O30" s="39" t="n"/>
      <c r="P30" s="38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38">
        <f>IF(P30=5,SUM(K30:O30),"")</f>
        <v/>
      </c>
      <c r="R30" s="38">
        <f>IF(P30="","",IF(P30&lt;5,"Pendente",IF(NOT(cad_limites_ok),"Pendente",IF(K30=3,"A",IF(Q30&gt;=cad_limite_a,"A",IF(Q30&gt;=cad_limite_b,"B","C"))))))</f>
        <v/>
      </c>
      <c r="S30" s="40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36" t="n"/>
      <c r="B31" s="36" t="n"/>
      <c r="C31" s="37" t="n"/>
      <c r="D31" s="36" t="n"/>
      <c r="E31" s="38">
        <f>IF(D31="","",IFERROR(INDEX(lst_tipo_nome,MATCH(D31,lst_tipo_id,0)),"Tipo não cadastrado em Listas"))</f>
        <v/>
      </c>
      <c r="F31" s="36" t="n"/>
      <c r="G31" s="36" t="n"/>
      <c r="H31" s="36" t="n"/>
      <c r="I31" s="39" t="n"/>
      <c r="J31" s="38">
        <f>IF(OR(B31="",D31="",H31="",I31=""),"",IF(B31=H31&amp;"-"&amp;IFERROR(INDEX(lst_tipo_sigla,MATCH(D31,lst_tipo_id,0)),"???")&amp;"-"&amp;RIGHT("00"&amp;I31,3),"OK","Verificar: TAG difere de setor-sigla-número"))</f>
        <v/>
      </c>
      <c r="K31" s="39" t="n"/>
      <c r="L31" s="39" t="n"/>
      <c r="M31" s="39" t="n"/>
      <c r="N31" s="39" t="n"/>
      <c r="O31" s="39" t="n"/>
      <c r="P31" s="38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38">
        <f>IF(P31=5,SUM(K31:O31),"")</f>
        <v/>
      </c>
      <c r="R31" s="38">
        <f>IF(P31="","",IF(P31&lt;5,"Pendente",IF(NOT(cad_limites_ok),"Pendente",IF(K31=3,"A",IF(Q31&gt;=cad_limite_a,"A",IF(Q31&gt;=cad_limite_b,"B","C"))))))</f>
        <v/>
      </c>
      <c r="S31" s="40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36" t="n"/>
      <c r="B32" s="36" t="n"/>
      <c r="C32" s="37" t="n"/>
      <c r="D32" s="36" t="n"/>
      <c r="E32" s="38">
        <f>IF(D32="","",IFERROR(INDEX(lst_tipo_nome,MATCH(D32,lst_tipo_id,0)),"Tipo não cadastrado em Listas"))</f>
        <v/>
      </c>
      <c r="F32" s="36" t="n"/>
      <c r="G32" s="36" t="n"/>
      <c r="H32" s="36" t="n"/>
      <c r="I32" s="39" t="n"/>
      <c r="J32" s="38">
        <f>IF(OR(B32="",D32="",H32="",I32=""),"",IF(B32=H32&amp;"-"&amp;IFERROR(INDEX(lst_tipo_sigla,MATCH(D32,lst_tipo_id,0)),"???")&amp;"-"&amp;RIGHT("00"&amp;I32,3),"OK","Verificar: TAG difere de setor-sigla-número"))</f>
        <v/>
      </c>
      <c r="K32" s="39" t="n"/>
      <c r="L32" s="39" t="n"/>
      <c r="M32" s="39" t="n"/>
      <c r="N32" s="39" t="n"/>
      <c r="O32" s="39" t="n"/>
      <c r="P32" s="38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38">
        <f>IF(P32=5,SUM(K32:O32),"")</f>
        <v/>
      </c>
      <c r="R32" s="38">
        <f>IF(P32="","",IF(P32&lt;5,"Pendente",IF(NOT(cad_limites_ok),"Pendente",IF(K32=3,"A",IF(Q32&gt;=cad_limite_a,"A",IF(Q32&gt;=cad_limite_b,"B","C"))))))</f>
        <v/>
      </c>
      <c r="S32" s="40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36" t="n"/>
      <c r="B33" s="36" t="n"/>
      <c r="C33" s="37" t="n"/>
      <c r="D33" s="36" t="n"/>
      <c r="E33" s="38">
        <f>IF(D33="","",IFERROR(INDEX(lst_tipo_nome,MATCH(D33,lst_tipo_id,0)),"Tipo não cadastrado em Listas"))</f>
        <v/>
      </c>
      <c r="F33" s="36" t="n"/>
      <c r="G33" s="36" t="n"/>
      <c r="H33" s="36" t="n"/>
      <c r="I33" s="39" t="n"/>
      <c r="J33" s="38">
        <f>IF(OR(B33="",D33="",H33="",I33=""),"",IF(B33=H33&amp;"-"&amp;IFERROR(INDEX(lst_tipo_sigla,MATCH(D33,lst_tipo_id,0)),"???")&amp;"-"&amp;RIGHT("00"&amp;I33,3),"OK","Verificar: TAG difere de setor-sigla-número"))</f>
        <v/>
      </c>
      <c r="K33" s="39" t="n"/>
      <c r="L33" s="39" t="n"/>
      <c r="M33" s="39" t="n"/>
      <c r="N33" s="39" t="n"/>
      <c r="O33" s="39" t="n"/>
      <c r="P33" s="38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38">
        <f>IF(P33=5,SUM(K33:O33),"")</f>
        <v/>
      </c>
      <c r="R33" s="38">
        <f>IF(P33="","",IF(P33&lt;5,"Pendente",IF(NOT(cad_limites_ok),"Pendente",IF(K33=3,"A",IF(Q33&gt;=cad_limite_a,"A",IF(Q33&gt;=cad_limite_b,"B","C"))))))</f>
        <v/>
      </c>
      <c r="S33" s="40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36" t="n"/>
      <c r="B34" s="36" t="n"/>
      <c r="C34" s="37" t="n"/>
      <c r="D34" s="36" t="n"/>
      <c r="E34" s="38">
        <f>IF(D34="","",IFERROR(INDEX(lst_tipo_nome,MATCH(D34,lst_tipo_id,0)),"Tipo não cadastrado em Listas"))</f>
        <v/>
      </c>
      <c r="F34" s="36" t="n"/>
      <c r="G34" s="36" t="n"/>
      <c r="H34" s="36" t="n"/>
      <c r="I34" s="39" t="n"/>
      <c r="J34" s="38">
        <f>IF(OR(B34="",D34="",H34="",I34=""),"",IF(B34=H34&amp;"-"&amp;IFERROR(INDEX(lst_tipo_sigla,MATCH(D34,lst_tipo_id,0)),"???")&amp;"-"&amp;RIGHT("00"&amp;I34,3),"OK","Verificar: TAG difere de setor-sigla-número"))</f>
        <v/>
      </c>
      <c r="K34" s="39" t="n"/>
      <c r="L34" s="39" t="n"/>
      <c r="M34" s="39" t="n"/>
      <c r="N34" s="39" t="n"/>
      <c r="O34" s="39" t="n"/>
      <c r="P34" s="38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38">
        <f>IF(P34=5,SUM(K34:O34),"")</f>
        <v/>
      </c>
      <c r="R34" s="38">
        <f>IF(P34="","",IF(P34&lt;5,"Pendente",IF(NOT(cad_limites_ok),"Pendente",IF(K34=3,"A",IF(Q34&gt;=cad_limite_a,"A",IF(Q34&gt;=cad_limite_b,"B","C"))))))</f>
        <v/>
      </c>
      <c r="S34" s="40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36" t="n"/>
      <c r="B35" s="36" t="n"/>
      <c r="C35" s="37" t="n"/>
      <c r="D35" s="36" t="n"/>
      <c r="E35" s="38">
        <f>IF(D35="","",IFERROR(INDEX(lst_tipo_nome,MATCH(D35,lst_tipo_id,0)),"Tipo não cadastrado em Listas"))</f>
        <v/>
      </c>
      <c r="F35" s="36" t="n"/>
      <c r="G35" s="36" t="n"/>
      <c r="H35" s="36" t="n"/>
      <c r="I35" s="39" t="n"/>
      <c r="J35" s="38">
        <f>IF(OR(B35="",D35="",H35="",I35=""),"",IF(B35=H35&amp;"-"&amp;IFERROR(INDEX(lst_tipo_sigla,MATCH(D35,lst_tipo_id,0)),"???")&amp;"-"&amp;RIGHT("00"&amp;I35,3),"OK","Verificar: TAG difere de setor-sigla-número"))</f>
        <v/>
      </c>
      <c r="K35" s="39" t="n"/>
      <c r="L35" s="39" t="n"/>
      <c r="M35" s="39" t="n"/>
      <c r="N35" s="39" t="n"/>
      <c r="O35" s="39" t="n"/>
      <c r="P35" s="38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38">
        <f>IF(P35=5,SUM(K35:O35),"")</f>
        <v/>
      </c>
      <c r="R35" s="38">
        <f>IF(P35="","",IF(P35&lt;5,"Pendente",IF(NOT(cad_limites_ok),"Pendente",IF(K35=3,"A",IF(Q35&gt;=cad_limite_a,"A",IF(Q35&gt;=cad_limite_b,"B","C"))))))</f>
        <v/>
      </c>
      <c r="S35" s="40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36" t="n"/>
      <c r="B36" s="36" t="n"/>
      <c r="C36" s="37" t="n"/>
      <c r="D36" s="36" t="n"/>
      <c r="E36" s="38">
        <f>IF(D36="","",IFERROR(INDEX(lst_tipo_nome,MATCH(D36,lst_tipo_id,0)),"Tipo não cadastrado em Listas"))</f>
        <v/>
      </c>
      <c r="F36" s="36" t="n"/>
      <c r="G36" s="36" t="n"/>
      <c r="H36" s="36" t="n"/>
      <c r="I36" s="39" t="n"/>
      <c r="J36" s="38">
        <f>IF(OR(B36="",D36="",H36="",I36=""),"",IF(B36=H36&amp;"-"&amp;IFERROR(INDEX(lst_tipo_sigla,MATCH(D36,lst_tipo_id,0)),"???")&amp;"-"&amp;RIGHT("00"&amp;I36,3),"OK","Verificar: TAG difere de setor-sigla-número"))</f>
        <v/>
      </c>
      <c r="K36" s="39" t="n"/>
      <c r="L36" s="39" t="n"/>
      <c r="M36" s="39" t="n"/>
      <c r="N36" s="39" t="n"/>
      <c r="O36" s="39" t="n"/>
      <c r="P36" s="38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38">
        <f>IF(P36=5,SUM(K36:O36),"")</f>
        <v/>
      </c>
      <c r="R36" s="38">
        <f>IF(P36="","",IF(P36&lt;5,"Pendente",IF(NOT(cad_limites_ok),"Pendente",IF(K36=3,"A",IF(Q36&gt;=cad_limite_a,"A",IF(Q36&gt;=cad_limite_b,"B","C"))))))</f>
        <v/>
      </c>
      <c r="S36" s="40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36" t="n"/>
      <c r="B37" s="36" t="n"/>
      <c r="C37" s="37" t="n"/>
      <c r="D37" s="36" t="n"/>
      <c r="E37" s="38">
        <f>IF(D37="","",IFERROR(INDEX(lst_tipo_nome,MATCH(D37,lst_tipo_id,0)),"Tipo não cadastrado em Listas"))</f>
        <v/>
      </c>
      <c r="F37" s="36" t="n"/>
      <c r="G37" s="36" t="n"/>
      <c r="H37" s="36" t="n"/>
      <c r="I37" s="39" t="n"/>
      <c r="J37" s="38">
        <f>IF(OR(B37="",D37="",H37="",I37=""),"",IF(B37=H37&amp;"-"&amp;IFERROR(INDEX(lst_tipo_sigla,MATCH(D37,lst_tipo_id,0)),"???")&amp;"-"&amp;RIGHT("00"&amp;I37,3),"OK","Verificar: TAG difere de setor-sigla-número"))</f>
        <v/>
      </c>
      <c r="K37" s="39" t="n"/>
      <c r="L37" s="39" t="n"/>
      <c r="M37" s="39" t="n"/>
      <c r="N37" s="39" t="n"/>
      <c r="O37" s="39" t="n"/>
      <c r="P37" s="38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38">
        <f>IF(P37=5,SUM(K37:O37),"")</f>
        <v/>
      </c>
      <c r="R37" s="38">
        <f>IF(P37="","",IF(P37&lt;5,"Pendente",IF(NOT(cad_limites_ok),"Pendente",IF(K37=3,"A",IF(Q37&gt;=cad_limite_a,"A",IF(Q37&gt;=cad_limite_b,"B","C"))))))</f>
        <v/>
      </c>
      <c r="S37" s="40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36" t="n"/>
      <c r="B38" s="36" t="n"/>
      <c r="C38" s="37" t="n"/>
      <c r="D38" s="36" t="n"/>
      <c r="E38" s="38">
        <f>IF(D38="","",IFERROR(INDEX(lst_tipo_nome,MATCH(D38,lst_tipo_id,0)),"Tipo não cadastrado em Listas"))</f>
        <v/>
      </c>
      <c r="F38" s="36" t="n"/>
      <c r="G38" s="36" t="n"/>
      <c r="H38" s="36" t="n"/>
      <c r="I38" s="39" t="n"/>
      <c r="J38" s="38">
        <f>IF(OR(B38="",D38="",H38="",I38=""),"",IF(B38=H38&amp;"-"&amp;IFERROR(INDEX(lst_tipo_sigla,MATCH(D38,lst_tipo_id,0)),"???")&amp;"-"&amp;RIGHT("00"&amp;I38,3),"OK","Verificar: TAG difere de setor-sigla-número"))</f>
        <v/>
      </c>
      <c r="K38" s="39" t="n"/>
      <c r="L38" s="39" t="n"/>
      <c r="M38" s="39" t="n"/>
      <c r="N38" s="39" t="n"/>
      <c r="O38" s="39" t="n"/>
      <c r="P38" s="38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38">
        <f>IF(P38=5,SUM(K38:O38),"")</f>
        <v/>
      </c>
      <c r="R38" s="38">
        <f>IF(P38="","",IF(P38&lt;5,"Pendente",IF(NOT(cad_limites_ok),"Pendente",IF(K38=3,"A",IF(Q38&gt;=cad_limite_a,"A",IF(Q38&gt;=cad_limite_b,"B","C"))))))</f>
        <v/>
      </c>
      <c r="S38" s="40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36" t="n"/>
      <c r="B39" s="36" t="n"/>
      <c r="C39" s="37" t="n"/>
      <c r="D39" s="36" t="n"/>
      <c r="E39" s="38">
        <f>IF(D39="","",IFERROR(INDEX(lst_tipo_nome,MATCH(D39,lst_tipo_id,0)),"Tipo não cadastrado em Listas"))</f>
        <v/>
      </c>
      <c r="F39" s="36" t="n"/>
      <c r="G39" s="36" t="n"/>
      <c r="H39" s="36" t="n"/>
      <c r="I39" s="39" t="n"/>
      <c r="J39" s="38">
        <f>IF(OR(B39="",D39="",H39="",I39=""),"",IF(B39=H39&amp;"-"&amp;IFERROR(INDEX(lst_tipo_sigla,MATCH(D39,lst_tipo_id,0)),"???")&amp;"-"&amp;RIGHT("00"&amp;I39,3),"OK","Verificar: TAG difere de setor-sigla-número"))</f>
        <v/>
      </c>
      <c r="K39" s="39" t="n"/>
      <c r="L39" s="39" t="n"/>
      <c r="M39" s="39" t="n"/>
      <c r="N39" s="39" t="n"/>
      <c r="O39" s="39" t="n"/>
      <c r="P39" s="38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38">
        <f>IF(P39=5,SUM(K39:O39),"")</f>
        <v/>
      </c>
      <c r="R39" s="38">
        <f>IF(P39="","",IF(P39&lt;5,"Pendente",IF(NOT(cad_limites_ok),"Pendente",IF(K39=3,"A",IF(Q39&gt;=cad_limite_a,"A",IF(Q39&gt;=cad_limite_b,"B","C"))))))</f>
        <v/>
      </c>
      <c r="S39" s="40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36" t="n"/>
      <c r="B40" s="36" t="n"/>
      <c r="C40" s="37" t="n"/>
      <c r="D40" s="36" t="n"/>
      <c r="E40" s="38">
        <f>IF(D40="","",IFERROR(INDEX(lst_tipo_nome,MATCH(D40,lst_tipo_id,0)),"Tipo não cadastrado em Listas"))</f>
        <v/>
      </c>
      <c r="F40" s="36" t="n"/>
      <c r="G40" s="36" t="n"/>
      <c r="H40" s="36" t="n"/>
      <c r="I40" s="39" t="n"/>
      <c r="J40" s="38">
        <f>IF(OR(B40="",D40="",H40="",I40=""),"",IF(B40=H40&amp;"-"&amp;IFERROR(INDEX(lst_tipo_sigla,MATCH(D40,lst_tipo_id,0)),"???")&amp;"-"&amp;RIGHT("00"&amp;I40,3),"OK","Verificar: TAG difere de setor-sigla-número"))</f>
        <v/>
      </c>
      <c r="K40" s="39" t="n"/>
      <c r="L40" s="39" t="n"/>
      <c r="M40" s="39" t="n"/>
      <c r="N40" s="39" t="n"/>
      <c r="O40" s="39" t="n"/>
      <c r="P40" s="38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38">
        <f>IF(P40=5,SUM(K40:O40),"")</f>
        <v/>
      </c>
      <c r="R40" s="38">
        <f>IF(P40="","",IF(P40&lt;5,"Pendente",IF(NOT(cad_limites_ok),"Pendente",IF(K40=3,"A",IF(Q40&gt;=cad_limite_a,"A",IF(Q40&gt;=cad_limite_b,"B","C"))))))</f>
        <v/>
      </c>
      <c r="S40" s="40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36" t="n"/>
      <c r="B41" s="36" t="n"/>
      <c r="C41" s="37" t="n"/>
      <c r="D41" s="36" t="n"/>
      <c r="E41" s="38">
        <f>IF(D41="","",IFERROR(INDEX(lst_tipo_nome,MATCH(D41,lst_tipo_id,0)),"Tipo não cadastrado em Listas"))</f>
        <v/>
      </c>
      <c r="F41" s="36" t="n"/>
      <c r="G41" s="36" t="n"/>
      <c r="H41" s="36" t="n"/>
      <c r="I41" s="39" t="n"/>
      <c r="J41" s="38">
        <f>IF(OR(B41="",D41="",H41="",I41=""),"",IF(B41=H41&amp;"-"&amp;IFERROR(INDEX(lst_tipo_sigla,MATCH(D41,lst_tipo_id,0)),"???")&amp;"-"&amp;RIGHT("00"&amp;I41,3),"OK","Verificar: TAG difere de setor-sigla-número"))</f>
        <v/>
      </c>
      <c r="K41" s="39" t="n"/>
      <c r="L41" s="39" t="n"/>
      <c r="M41" s="39" t="n"/>
      <c r="N41" s="39" t="n"/>
      <c r="O41" s="39" t="n"/>
      <c r="P41" s="38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38">
        <f>IF(P41=5,SUM(K41:O41),"")</f>
        <v/>
      </c>
      <c r="R41" s="38">
        <f>IF(P41="","",IF(P41&lt;5,"Pendente",IF(NOT(cad_limites_ok),"Pendente",IF(K41=3,"A",IF(Q41&gt;=cad_limite_a,"A",IF(Q41&gt;=cad_limite_b,"B","C"))))))</f>
        <v/>
      </c>
      <c r="S41" s="40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36" t="n"/>
      <c r="B42" s="36" t="n"/>
      <c r="C42" s="37" t="n"/>
      <c r="D42" s="36" t="n"/>
      <c r="E42" s="38">
        <f>IF(D42="","",IFERROR(INDEX(lst_tipo_nome,MATCH(D42,lst_tipo_id,0)),"Tipo não cadastrado em Listas"))</f>
        <v/>
      </c>
      <c r="F42" s="36" t="n"/>
      <c r="G42" s="36" t="n"/>
      <c r="H42" s="36" t="n"/>
      <c r="I42" s="39" t="n"/>
      <c r="J42" s="38">
        <f>IF(OR(B42="",D42="",H42="",I42=""),"",IF(B42=H42&amp;"-"&amp;IFERROR(INDEX(lst_tipo_sigla,MATCH(D42,lst_tipo_id,0)),"???")&amp;"-"&amp;RIGHT("00"&amp;I42,3),"OK","Verificar: TAG difere de setor-sigla-número"))</f>
        <v/>
      </c>
      <c r="K42" s="39" t="n"/>
      <c r="L42" s="39" t="n"/>
      <c r="M42" s="39" t="n"/>
      <c r="N42" s="39" t="n"/>
      <c r="O42" s="39" t="n"/>
      <c r="P42" s="38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38">
        <f>IF(P42=5,SUM(K42:O42),"")</f>
        <v/>
      </c>
      <c r="R42" s="38">
        <f>IF(P42="","",IF(P42&lt;5,"Pendente",IF(NOT(cad_limites_ok),"Pendente",IF(K42=3,"A",IF(Q42&gt;=cad_limite_a,"A",IF(Q42&gt;=cad_limite_b,"B","C"))))))</f>
        <v/>
      </c>
      <c r="S42" s="40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36" t="n"/>
      <c r="B43" s="36" t="n"/>
      <c r="C43" s="37" t="n"/>
      <c r="D43" s="36" t="n"/>
      <c r="E43" s="38">
        <f>IF(D43="","",IFERROR(INDEX(lst_tipo_nome,MATCH(D43,lst_tipo_id,0)),"Tipo não cadastrado em Listas"))</f>
        <v/>
      </c>
      <c r="F43" s="36" t="n"/>
      <c r="G43" s="36" t="n"/>
      <c r="H43" s="36" t="n"/>
      <c r="I43" s="39" t="n"/>
      <c r="J43" s="38">
        <f>IF(OR(B43="",D43="",H43="",I43=""),"",IF(B43=H43&amp;"-"&amp;IFERROR(INDEX(lst_tipo_sigla,MATCH(D43,lst_tipo_id,0)),"???")&amp;"-"&amp;RIGHT("00"&amp;I43,3),"OK","Verificar: TAG difere de setor-sigla-número"))</f>
        <v/>
      </c>
      <c r="K43" s="39" t="n"/>
      <c r="L43" s="39" t="n"/>
      <c r="M43" s="39" t="n"/>
      <c r="N43" s="39" t="n"/>
      <c r="O43" s="39" t="n"/>
      <c r="P43" s="38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38">
        <f>IF(P43=5,SUM(K43:O43),"")</f>
        <v/>
      </c>
      <c r="R43" s="38">
        <f>IF(P43="","",IF(P43&lt;5,"Pendente",IF(NOT(cad_limites_ok),"Pendente",IF(K43=3,"A",IF(Q43&gt;=cad_limite_a,"A",IF(Q43&gt;=cad_limite_b,"B","C"))))))</f>
        <v/>
      </c>
      <c r="S43" s="40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36" t="n"/>
      <c r="B44" s="36" t="n"/>
      <c r="C44" s="37" t="n"/>
      <c r="D44" s="36" t="n"/>
      <c r="E44" s="38">
        <f>IF(D44="","",IFERROR(INDEX(lst_tipo_nome,MATCH(D44,lst_tipo_id,0)),"Tipo não cadastrado em Listas"))</f>
        <v/>
      </c>
      <c r="F44" s="36" t="n"/>
      <c r="G44" s="36" t="n"/>
      <c r="H44" s="36" t="n"/>
      <c r="I44" s="39" t="n"/>
      <c r="J44" s="38">
        <f>IF(OR(B44="",D44="",H44="",I44=""),"",IF(B44=H44&amp;"-"&amp;IFERROR(INDEX(lst_tipo_sigla,MATCH(D44,lst_tipo_id,0)),"???")&amp;"-"&amp;RIGHT("00"&amp;I44,3),"OK","Verificar: TAG difere de setor-sigla-número"))</f>
        <v/>
      </c>
      <c r="K44" s="39" t="n"/>
      <c r="L44" s="39" t="n"/>
      <c r="M44" s="39" t="n"/>
      <c r="N44" s="39" t="n"/>
      <c r="O44" s="39" t="n"/>
      <c r="P44" s="38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38">
        <f>IF(P44=5,SUM(K44:O44),"")</f>
        <v/>
      </c>
      <c r="R44" s="38">
        <f>IF(P44="","",IF(P44&lt;5,"Pendente",IF(NOT(cad_limites_ok),"Pendente",IF(K44=3,"A",IF(Q44&gt;=cad_limite_a,"A",IF(Q44&gt;=cad_limite_b,"B","C"))))))</f>
        <v/>
      </c>
      <c r="S44" s="40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36" t="n"/>
      <c r="B45" s="36" t="n"/>
      <c r="C45" s="37" t="n"/>
      <c r="D45" s="36" t="n"/>
      <c r="E45" s="38">
        <f>IF(D45="","",IFERROR(INDEX(lst_tipo_nome,MATCH(D45,lst_tipo_id,0)),"Tipo não cadastrado em Listas"))</f>
        <v/>
      </c>
      <c r="F45" s="36" t="n"/>
      <c r="G45" s="36" t="n"/>
      <c r="H45" s="36" t="n"/>
      <c r="I45" s="39" t="n"/>
      <c r="J45" s="38">
        <f>IF(OR(B45="",D45="",H45="",I45=""),"",IF(B45=H45&amp;"-"&amp;IFERROR(INDEX(lst_tipo_sigla,MATCH(D45,lst_tipo_id,0)),"???")&amp;"-"&amp;RIGHT("00"&amp;I45,3),"OK","Verificar: TAG difere de setor-sigla-número"))</f>
        <v/>
      </c>
      <c r="K45" s="39" t="n"/>
      <c r="L45" s="39" t="n"/>
      <c r="M45" s="39" t="n"/>
      <c r="N45" s="39" t="n"/>
      <c r="O45" s="39" t="n"/>
      <c r="P45" s="38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38">
        <f>IF(P45=5,SUM(K45:O45),"")</f>
        <v/>
      </c>
      <c r="R45" s="38">
        <f>IF(P45="","",IF(P45&lt;5,"Pendente",IF(NOT(cad_limites_ok),"Pendente",IF(K45=3,"A",IF(Q45&gt;=cad_limite_a,"A",IF(Q45&gt;=cad_limite_b,"B","C"))))))</f>
        <v/>
      </c>
      <c r="S45" s="40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36" t="n"/>
      <c r="B46" s="36" t="n"/>
      <c r="C46" s="37" t="n"/>
      <c r="D46" s="36" t="n"/>
      <c r="E46" s="38">
        <f>IF(D46="","",IFERROR(INDEX(lst_tipo_nome,MATCH(D46,lst_tipo_id,0)),"Tipo não cadastrado em Listas"))</f>
        <v/>
      </c>
      <c r="F46" s="36" t="n"/>
      <c r="G46" s="36" t="n"/>
      <c r="H46" s="36" t="n"/>
      <c r="I46" s="39" t="n"/>
      <c r="J46" s="38">
        <f>IF(OR(B46="",D46="",H46="",I46=""),"",IF(B46=H46&amp;"-"&amp;IFERROR(INDEX(lst_tipo_sigla,MATCH(D46,lst_tipo_id,0)),"???")&amp;"-"&amp;RIGHT("00"&amp;I46,3),"OK","Verificar: TAG difere de setor-sigla-número"))</f>
        <v/>
      </c>
      <c r="K46" s="39" t="n"/>
      <c r="L46" s="39" t="n"/>
      <c r="M46" s="39" t="n"/>
      <c r="N46" s="39" t="n"/>
      <c r="O46" s="39" t="n"/>
      <c r="P46" s="38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38">
        <f>IF(P46=5,SUM(K46:O46),"")</f>
        <v/>
      </c>
      <c r="R46" s="38">
        <f>IF(P46="","",IF(P46&lt;5,"Pendente",IF(NOT(cad_limites_ok),"Pendente",IF(K46=3,"A",IF(Q46&gt;=cad_limite_a,"A",IF(Q46&gt;=cad_limite_b,"B","C"))))))</f>
        <v/>
      </c>
      <c r="S46" s="40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36" t="n"/>
      <c r="B47" s="36" t="n"/>
      <c r="C47" s="37" t="n"/>
      <c r="D47" s="36" t="n"/>
      <c r="E47" s="38">
        <f>IF(D47="","",IFERROR(INDEX(lst_tipo_nome,MATCH(D47,lst_tipo_id,0)),"Tipo não cadastrado em Listas"))</f>
        <v/>
      </c>
      <c r="F47" s="36" t="n"/>
      <c r="G47" s="36" t="n"/>
      <c r="H47" s="36" t="n"/>
      <c r="I47" s="39" t="n"/>
      <c r="J47" s="38">
        <f>IF(OR(B47="",D47="",H47="",I47=""),"",IF(B47=H47&amp;"-"&amp;IFERROR(INDEX(lst_tipo_sigla,MATCH(D47,lst_tipo_id,0)),"???")&amp;"-"&amp;RIGHT("00"&amp;I47,3),"OK","Verificar: TAG difere de setor-sigla-número"))</f>
        <v/>
      </c>
      <c r="K47" s="39" t="n"/>
      <c r="L47" s="39" t="n"/>
      <c r="M47" s="39" t="n"/>
      <c r="N47" s="39" t="n"/>
      <c r="O47" s="39" t="n"/>
      <c r="P47" s="38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38">
        <f>IF(P47=5,SUM(K47:O47),"")</f>
        <v/>
      </c>
      <c r="R47" s="38">
        <f>IF(P47="","",IF(P47&lt;5,"Pendente",IF(NOT(cad_limites_ok),"Pendente",IF(K47=3,"A",IF(Q47&gt;=cad_limite_a,"A",IF(Q47&gt;=cad_limite_b,"B","C"))))))</f>
        <v/>
      </c>
      <c r="S47" s="40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36" t="n"/>
      <c r="B48" s="36" t="n"/>
      <c r="C48" s="37" t="n"/>
      <c r="D48" s="36" t="n"/>
      <c r="E48" s="38">
        <f>IF(D48="","",IFERROR(INDEX(lst_tipo_nome,MATCH(D48,lst_tipo_id,0)),"Tipo não cadastrado em Listas"))</f>
        <v/>
      </c>
      <c r="F48" s="36" t="n"/>
      <c r="G48" s="36" t="n"/>
      <c r="H48" s="36" t="n"/>
      <c r="I48" s="39" t="n"/>
      <c r="J48" s="38">
        <f>IF(OR(B48="",D48="",H48="",I48=""),"",IF(B48=H48&amp;"-"&amp;IFERROR(INDEX(lst_tipo_sigla,MATCH(D48,lst_tipo_id,0)),"???")&amp;"-"&amp;RIGHT("00"&amp;I48,3),"OK","Verificar: TAG difere de setor-sigla-número"))</f>
        <v/>
      </c>
      <c r="K48" s="39" t="n"/>
      <c r="L48" s="39" t="n"/>
      <c r="M48" s="39" t="n"/>
      <c r="N48" s="39" t="n"/>
      <c r="O48" s="39" t="n"/>
      <c r="P48" s="38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38">
        <f>IF(P48=5,SUM(K48:O48),"")</f>
        <v/>
      </c>
      <c r="R48" s="38">
        <f>IF(P48="","",IF(P48&lt;5,"Pendente",IF(NOT(cad_limites_ok),"Pendente",IF(K48=3,"A",IF(Q48&gt;=cad_limite_a,"A",IF(Q48&gt;=cad_limite_b,"B","C"))))))</f>
        <v/>
      </c>
      <c r="S48" s="40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36" t="n"/>
      <c r="B49" s="36" t="n"/>
      <c r="C49" s="37" t="n"/>
      <c r="D49" s="36" t="n"/>
      <c r="E49" s="38">
        <f>IF(D49="","",IFERROR(INDEX(lst_tipo_nome,MATCH(D49,lst_tipo_id,0)),"Tipo não cadastrado em Listas"))</f>
        <v/>
      </c>
      <c r="F49" s="36" t="n"/>
      <c r="G49" s="36" t="n"/>
      <c r="H49" s="36" t="n"/>
      <c r="I49" s="39" t="n"/>
      <c r="J49" s="38">
        <f>IF(OR(B49="",D49="",H49="",I49=""),"",IF(B49=H49&amp;"-"&amp;IFERROR(INDEX(lst_tipo_sigla,MATCH(D49,lst_tipo_id,0)),"???")&amp;"-"&amp;RIGHT("00"&amp;I49,3),"OK","Verificar: TAG difere de setor-sigla-número"))</f>
        <v/>
      </c>
      <c r="K49" s="39" t="n"/>
      <c r="L49" s="39" t="n"/>
      <c r="M49" s="39" t="n"/>
      <c r="N49" s="39" t="n"/>
      <c r="O49" s="39" t="n"/>
      <c r="P49" s="38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38">
        <f>IF(P49=5,SUM(K49:O49),"")</f>
        <v/>
      </c>
      <c r="R49" s="38">
        <f>IF(P49="","",IF(P49&lt;5,"Pendente",IF(NOT(cad_limites_ok),"Pendente",IF(K49=3,"A",IF(Q49&gt;=cad_limite_a,"A",IF(Q49&gt;=cad_limite_b,"B","C"))))))</f>
        <v/>
      </c>
      <c r="S49" s="40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36" t="n"/>
      <c r="B50" s="36" t="n"/>
      <c r="C50" s="37" t="n"/>
      <c r="D50" s="36" t="n"/>
      <c r="E50" s="38">
        <f>IF(D50="","",IFERROR(INDEX(lst_tipo_nome,MATCH(D50,lst_tipo_id,0)),"Tipo não cadastrado em Listas"))</f>
        <v/>
      </c>
      <c r="F50" s="36" t="n"/>
      <c r="G50" s="36" t="n"/>
      <c r="H50" s="36" t="n"/>
      <c r="I50" s="39" t="n"/>
      <c r="J50" s="38">
        <f>IF(OR(B50="",D50="",H50="",I50=""),"",IF(B50=H50&amp;"-"&amp;IFERROR(INDEX(lst_tipo_sigla,MATCH(D50,lst_tipo_id,0)),"???")&amp;"-"&amp;RIGHT("00"&amp;I50,3),"OK","Verificar: TAG difere de setor-sigla-número"))</f>
        <v/>
      </c>
      <c r="K50" s="39" t="n"/>
      <c r="L50" s="39" t="n"/>
      <c r="M50" s="39" t="n"/>
      <c r="N50" s="39" t="n"/>
      <c r="O50" s="39" t="n"/>
      <c r="P50" s="38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38">
        <f>IF(P50=5,SUM(K50:O50),"")</f>
        <v/>
      </c>
      <c r="R50" s="38">
        <f>IF(P50="","",IF(P50&lt;5,"Pendente",IF(NOT(cad_limites_ok),"Pendente",IF(K50=3,"A",IF(Q50&gt;=cad_limite_a,"A",IF(Q50&gt;=cad_limite_b,"B","C"))))))</f>
        <v/>
      </c>
      <c r="S50" s="40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36" t="n"/>
      <c r="B51" s="36" t="n"/>
      <c r="C51" s="37" t="n"/>
      <c r="D51" s="36" t="n"/>
      <c r="E51" s="38">
        <f>IF(D51="","",IFERROR(INDEX(lst_tipo_nome,MATCH(D51,lst_tipo_id,0)),"Tipo não cadastrado em Listas"))</f>
        <v/>
      </c>
      <c r="F51" s="36" t="n"/>
      <c r="G51" s="36" t="n"/>
      <c r="H51" s="36" t="n"/>
      <c r="I51" s="39" t="n"/>
      <c r="J51" s="38">
        <f>IF(OR(B51="",D51="",H51="",I51=""),"",IF(B51=H51&amp;"-"&amp;IFERROR(INDEX(lst_tipo_sigla,MATCH(D51,lst_tipo_id,0)),"???")&amp;"-"&amp;RIGHT("00"&amp;I51,3),"OK","Verificar: TAG difere de setor-sigla-número"))</f>
        <v/>
      </c>
      <c r="K51" s="39" t="n"/>
      <c r="L51" s="39" t="n"/>
      <c r="M51" s="39" t="n"/>
      <c r="N51" s="39" t="n"/>
      <c r="O51" s="39" t="n"/>
      <c r="P51" s="38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38">
        <f>IF(P51=5,SUM(K51:O51),"")</f>
        <v/>
      </c>
      <c r="R51" s="38">
        <f>IF(P51="","",IF(P51&lt;5,"Pendente",IF(NOT(cad_limites_ok),"Pendente",IF(K51=3,"A",IF(Q51&gt;=cad_limite_a,"A",IF(Q51&gt;=cad_limite_b,"B","C"))))))</f>
        <v/>
      </c>
      <c r="S51" s="40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36" t="n"/>
      <c r="B52" s="36" t="n"/>
      <c r="C52" s="37" t="n"/>
      <c r="D52" s="36" t="n"/>
      <c r="E52" s="38">
        <f>IF(D52="","",IFERROR(INDEX(lst_tipo_nome,MATCH(D52,lst_tipo_id,0)),"Tipo não cadastrado em Listas"))</f>
        <v/>
      </c>
      <c r="F52" s="36" t="n"/>
      <c r="G52" s="36" t="n"/>
      <c r="H52" s="36" t="n"/>
      <c r="I52" s="39" t="n"/>
      <c r="J52" s="38">
        <f>IF(OR(B52="",D52="",H52="",I52=""),"",IF(B52=H52&amp;"-"&amp;IFERROR(INDEX(lst_tipo_sigla,MATCH(D52,lst_tipo_id,0)),"???")&amp;"-"&amp;RIGHT("00"&amp;I52,3),"OK","Verificar: TAG difere de setor-sigla-número"))</f>
        <v/>
      </c>
      <c r="K52" s="39" t="n"/>
      <c r="L52" s="39" t="n"/>
      <c r="M52" s="39" t="n"/>
      <c r="N52" s="39" t="n"/>
      <c r="O52" s="39" t="n"/>
      <c r="P52" s="38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38">
        <f>IF(P52=5,SUM(K52:O52),"")</f>
        <v/>
      </c>
      <c r="R52" s="38">
        <f>IF(P52="","",IF(P52&lt;5,"Pendente",IF(NOT(cad_limites_ok),"Pendente",IF(K52=3,"A",IF(Q52&gt;=cad_limite_a,"A",IF(Q52&gt;=cad_limite_b,"B","C"))))))</f>
        <v/>
      </c>
      <c r="S52" s="40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36" t="n"/>
      <c r="B53" s="36" t="n"/>
      <c r="C53" s="37" t="n"/>
      <c r="D53" s="36" t="n"/>
      <c r="E53" s="38">
        <f>IF(D53="","",IFERROR(INDEX(lst_tipo_nome,MATCH(D53,lst_tipo_id,0)),"Tipo não cadastrado em Listas"))</f>
        <v/>
      </c>
      <c r="F53" s="36" t="n"/>
      <c r="G53" s="36" t="n"/>
      <c r="H53" s="36" t="n"/>
      <c r="I53" s="39" t="n"/>
      <c r="J53" s="38">
        <f>IF(OR(B53="",D53="",H53="",I53=""),"",IF(B53=H53&amp;"-"&amp;IFERROR(INDEX(lst_tipo_sigla,MATCH(D53,lst_tipo_id,0)),"???")&amp;"-"&amp;RIGHT("00"&amp;I53,3),"OK","Verificar: TAG difere de setor-sigla-número"))</f>
        <v/>
      </c>
      <c r="K53" s="39" t="n"/>
      <c r="L53" s="39" t="n"/>
      <c r="M53" s="39" t="n"/>
      <c r="N53" s="39" t="n"/>
      <c r="O53" s="39" t="n"/>
      <c r="P53" s="38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38">
        <f>IF(P53=5,SUM(K53:O53),"")</f>
        <v/>
      </c>
      <c r="R53" s="38">
        <f>IF(P53="","",IF(P53&lt;5,"Pendente",IF(NOT(cad_limites_ok),"Pendente",IF(K53=3,"A",IF(Q53&gt;=cad_limite_a,"A",IF(Q53&gt;=cad_limite_b,"B","C"))))))</f>
        <v/>
      </c>
      <c r="S53" s="40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36" t="n"/>
      <c r="B54" s="36" t="n"/>
      <c r="C54" s="37" t="n"/>
      <c r="D54" s="36" t="n"/>
      <c r="E54" s="38">
        <f>IF(D54="","",IFERROR(INDEX(lst_tipo_nome,MATCH(D54,lst_tipo_id,0)),"Tipo não cadastrado em Listas"))</f>
        <v/>
      </c>
      <c r="F54" s="36" t="n"/>
      <c r="G54" s="36" t="n"/>
      <c r="H54" s="36" t="n"/>
      <c r="I54" s="39" t="n"/>
      <c r="J54" s="38">
        <f>IF(OR(B54="",D54="",H54="",I54=""),"",IF(B54=H54&amp;"-"&amp;IFERROR(INDEX(lst_tipo_sigla,MATCH(D54,lst_tipo_id,0)),"???")&amp;"-"&amp;RIGHT("00"&amp;I54,3),"OK","Verificar: TAG difere de setor-sigla-número"))</f>
        <v/>
      </c>
      <c r="K54" s="39" t="n"/>
      <c r="L54" s="39" t="n"/>
      <c r="M54" s="39" t="n"/>
      <c r="N54" s="39" t="n"/>
      <c r="O54" s="39" t="n"/>
      <c r="P54" s="38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38">
        <f>IF(P54=5,SUM(K54:O54),"")</f>
        <v/>
      </c>
      <c r="R54" s="38">
        <f>IF(P54="","",IF(P54&lt;5,"Pendente",IF(NOT(cad_limites_ok),"Pendente",IF(K54=3,"A",IF(Q54&gt;=cad_limite_a,"A",IF(Q54&gt;=cad_limite_b,"B","C"))))))</f>
        <v/>
      </c>
      <c r="S54" s="40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36" t="n"/>
      <c r="B55" s="36" t="n"/>
      <c r="C55" s="37" t="n"/>
      <c r="D55" s="36" t="n"/>
      <c r="E55" s="38">
        <f>IF(D55="","",IFERROR(INDEX(lst_tipo_nome,MATCH(D55,lst_tipo_id,0)),"Tipo não cadastrado em Listas"))</f>
        <v/>
      </c>
      <c r="F55" s="36" t="n"/>
      <c r="G55" s="36" t="n"/>
      <c r="H55" s="36" t="n"/>
      <c r="I55" s="39" t="n"/>
      <c r="J55" s="38">
        <f>IF(OR(B55="",D55="",H55="",I55=""),"",IF(B55=H55&amp;"-"&amp;IFERROR(INDEX(lst_tipo_sigla,MATCH(D55,lst_tipo_id,0)),"???")&amp;"-"&amp;RIGHT("00"&amp;I55,3),"OK","Verificar: TAG difere de setor-sigla-número"))</f>
        <v/>
      </c>
      <c r="K55" s="39" t="n"/>
      <c r="L55" s="39" t="n"/>
      <c r="M55" s="39" t="n"/>
      <c r="N55" s="39" t="n"/>
      <c r="O55" s="39" t="n"/>
      <c r="P55" s="38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38">
        <f>IF(P55=5,SUM(K55:O55),"")</f>
        <v/>
      </c>
      <c r="R55" s="38">
        <f>IF(P55="","",IF(P55&lt;5,"Pendente",IF(NOT(cad_limites_ok),"Pendente",IF(K55=3,"A",IF(Q55&gt;=cad_limite_a,"A",IF(Q55&gt;=cad_limite_b,"B","C"))))))</f>
        <v/>
      </c>
      <c r="S55" s="40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36" t="n"/>
      <c r="B56" s="36" t="n"/>
      <c r="C56" s="37" t="n"/>
      <c r="D56" s="36" t="n"/>
      <c r="E56" s="38">
        <f>IF(D56="","",IFERROR(INDEX(lst_tipo_nome,MATCH(D56,lst_tipo_id,0)),"Tipo não cadastrado em Listas"))</f>
        <v/>
      </c>
      <c r="F56" s="36" t="n"/>
      <c r="G56" s="36" t="n"/>
      <c r="H56" s="36" t="n"/>
      <c r="I56" s="39" t="n"/>
      <c r="J56" s="38">
        <f>IF(OR(B56="",D56="",H56="",I56=""),"",IF(B56=H56&amp;"-"&amp;IFERROR(INDEX(lst_tipo_sigla,MATCH(D56,lst_tipo_id,0)),"???")&amp;"-"&amp;RIGHT("00"&amp;I56,3),"OK","Verificar: TAG difere de setor-sigla-número"))</f>
        <v/>
      </c>
      <c r="K56" s="39" t="n"/>
      <c r="L56" s="39" t="n"/>
      <c r="M56" s="39" t="n"/>
      <c r="N56" s="39" t="n"/>
      <c r="O56" s="39" t="n"/>
      <c r="P56" s="38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38">
        <f>IF(P56=5,SUM(K56:O56),"")</f>
        <v/>
      </c>
      <c r="R56" s="38">
        <f>IF(P56="","",IF(P56&lt;5,"Pendente",IF(NOT(cad_limites_ok),"Pendente",IF(K56=3,"A",IF(Q56&gt;=cad_limite_a,"A",IF(Q56&gt;=cad_limite_b,"B","C"))))))</f>
        <v/>
      </c>
      <c r="S56" s="40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36" t="n"/>
      <c r="B57" s="36" t="n"/>
      <c r="C57" s="37" t="n"/>
      <c r="D57" s="36" t="n"/>
      <c r="E57" s="38">
        <f>IF(D57="","",IFERROR(INDEX(lst_tipo_nome,MATCH(D57,lst_tipo_id,0)),"Tipo não cadastrado em Listas"))</f>
        <v/>
      </c>
      <c r="F57" s="36" t="n"/>
      <c r="G57" s="36" t="n"/>
      <c r="H57" s="36" t="n"/>
      <c r="I57" s="39" t="n"/>
      <c r="J57" s="38">
        <f>IF(OR(B57="",D57="",H57="",I57=""),"",IF(B57=H57&amp;"-"&amp;IFERROR(INDEX(lst_tipo_sigla,MATCH(D57,lst_tipo_id,0)),"???")&amp;"-"&amp;RIGHT("00"&amp;I57,3),"OK","Verificar: TAG difere de setor-sigla-número"))</f>
        <v/>
      </c>
      <c r="K57" s="39" t="n"/>
      <c r="L57" s="39" t="n"/>
      <c r="M57" s="39" t="n"/>
      <c r="N57" s="39" t="n"/>
      <c r="O57" s="39" t="n"/>
      <c r="P57" s="38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38">
        <f>IF(P57=5,SUM(K57:O57),"")</f>
        <v/>
      </c>
      <c r="R57" s="38">
        <f>IF(P57="","",IF(P57&lt;5,"Pendente",IF(NOT(cad_limites_ok),"Pendente",IF(K57=3,"A",IF(Q57&gt;=cad_limite_a,"A",IF(Q57&gt;=cad_limite_b,"B","C"))))))</f>
        <v/>
      </c>
      <c r="S57" s="40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36" t="n"/>
      <c r="B58" s="36" t="n"/>
      <c r="C58" s="37" t="n"/>
      <c r="D58" s="36" t="n"/>
      <c r="E58" s="38">
        <f>IF(D58="","",IFERROR(INDEX(lst_tipo_nome,MATCH(D58,lst_tipo_id,0)),"Tipo não cadastrado em Listas"))</f>
        <v/>
      </c>
      <c r="F58" s="36" t="n"/>
      <c r="G58" s="36" t="n"/>
      <c r="H58" s="36" t="n"/>
      <c r="I58" s="39" t="n"/>
      <c r="J58" s="38">
        <f>IF(OR(B58="",D58="",H58="",I58=""),"",IF(B58=H58&amp;"-"&amp;IFERROR(INDEX(lst_tipo_sigla,MATCH(D58,lst_tipo_id,0)),"???")&amp;"-"&amp;RIGHT("00"&amp;I58,3),"OK","Verificar: TAG difere de setor-sigla-número"))</f>
        <v/>
      </c>
      <c r="K58" s="39" t="n"/>
      <c r="L58" s="39" t="n"/>
      <c r="M58" s="39" t="n"/>
      <c r="N58" s="39" t="n"/>
      <c r="O58" s="39" t="n"/>
      <c r="P58" s="38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38">
        <f>IF(P58=5,SUM(K58:O58),"")</f>
        <v/>
      </c>
      <c r="R58" s="38">
        <f>IF(P58="","",IF(P58&lt;5,"Pendente",IF(NOT(cad_limites_ok),"Pendente",IF(K58=3,"A",IF(Q58&gt;=cad_limite_a,"A",IF(Q58&gt;=cad_limite_b,"B","C"))))))</f>
        <v/>
      </c>
      <c r="S58" s="40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36" t="n"/>
      <c r="B59" s="36" t="n"/>
      <c r="C59" s="37" t="n"/>
      <c r="D59" s="36" t="n"/>
      <c r="E59" s="38">
        <f>IF(D59="","",IFERROR(INDEX(lst_tipo_nome,MATCH(D59,lst_tipo_id,0)),"Tipo não cadastrado em Listas"))</f>
        <v/>
      </c>
      <c r="F59" s="36" t="n"/>
      <c r="G59" s="36" t="n"/>
      <c r="H59" s="36" t="n"/>
      <c r="I59" s="39" t="n"/>
      <c r="J59" s="38">
        <f>IF(OR(B59="",D59="",H59="",I59=""),"",IF(B59=H59&amp;"-"&amp;IFERROR(INDEX(lst_tipo_sigla,MATCH(D59,lst_tipo_id,0)),"???")&amp;"-"&amp;RIGHT("00"&amp;I59,3),"OK","Verificar: TAG difere de setor-sigla-número"))</f>
        <v/>
      </c>
      <c r="K59" s="39" t="n"/>
      <c r="L59" s="39" t="n"/>
      <c r="M59" s="39" t="n"/>
      <c r="N59" s="39" t="n"/>
      <c r="O59" s="39" t="n"/>
      <c r="P59" s="38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38">
        <f>IF(P59=5,SUM(K59:O59),"")</f>
        <v/>
      </c>
      <c r="R59" s="38">
        <f>IF(P59="","",IF(P59&lt;5,"Pendente",IF(NOT(cad_limites_ok),"Pendente",IF(K59=3,"A",IF(Q59&gt;=cad_limite_a,"A",IF(Q59&gt;=cad_limite_b,"B","C"))))))</f>
        <v/>
      </c>
      <c r="S59" s="40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36" t="n"/>
      <c r="B60" s="36" t="n"/>
      <c r="C60" s="37" t="n"/>
      <c r="D60" s="36" t="n"/>
      <c r="E60" s="38">
        <f>IF(D60="","",IFERROR(INDEX(lst_tipo_nome,MATCH(D60,lst_tipo_id,0)),"Tipo não cadastrado em Listas"))</f>
        <v/>
      </c>
      <c r="F60" s="36" t="n"/>
      <c r="G60" s="36" t="n"/>
      <c r="H60" s="36" t="n"/>
      <c r="I60" s="39" t="n"/>
      <c r="J60" s="38">
        <f>IF(OR(B60="",D60="",H60="",I60=""),"",IF(B60=H60&amp;"-"&amp;IFERROR(INDEX(lst_tipo_sigla,MATCH(D60,lst_tipo_id,0)),"???")&amp;"-"&amp;RIGHT("00"&amp;I60,3),"OK","Verificar: TAG difere de setor-sigla-número"))</f>
        <v/>
      </c>
      <c r="K60" s="39" t="n"/>
      <c r="L60" s="39" t="n"/>
      <c r="M60" s="39" t="n"/>
      <c r="N60" s="39" t="n"/>
      <c r="O60" s="39" t="n"/>
      <c r="P60" s="38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38">
        <f>IF(P60=5,SUM(K60:O60),"")</f>
        <v/>
      </c>
      <c r="R60" s="38">
        <f>IF(P60="","",IF(P60&lt;5,"Pendente",IF(NOT(cad_limites_ok),"Pendente",IF(K60=3,"A",IF(Q60&gt;=cad_limite_a,"A",IF(Q60&gt;=cad_limite_b,"B","C"))))))</f>
        <v/>
      </c>
      <c r="S60" s="40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36" t="n"/>
      <c r="B61" s="36" t="n"/>
      <c r="C61" s="37" t="n"/>
      <c r="D61" s="36" t="n"/>
      <c r="E61" s="38">
        <f>IF(D61="","",IFERROR(INDEX(lst_tipo_nome,MATCH(D61,lst_tipo_id,0)),"Tipo não cadastrado em Listas"))</f>
        <v/>
      </c>
      <c r="F61" s="36" t="n"/>
      <c r="G61" s="36" t="n"/>
      <c r="H61" s="36" t="n"/>
      <c r="I61" s="39" t="n"/>
      <c r="J61" s="38">
        <f>IF(OR(B61="",D61="",H61="",I61=""),"",IF(B61=H61&amp;"-"&amp;IFERROR(INDEX(lst_tipo_sigla,MATCH(D61,lst_tipo_id,0)),"???")&amp;"-"&amp;RIGHT("00"&amp;I61,3),"OK","Verificar: TAG difere de setor-sigla-número"))</f>
        <v/>
      </c>
      <c r="K61" s="39" t="n"/>
      <c r="L61" s="39" t="n"/>
      <c r="M61" s="39" t="n"/>
      <c r="N61" s="39" t="n"/>
      <c r="O61" s="39" t="n"/>
      <c r="P61" s="38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38">
        <f>IF(P61=5,SUM(K61:O61),"")</f>
        <v/>
      </c>
      <c r="R61" s="38">
        <f>IF(P61="","",IF(P61&lt;5,"Pendente",IF(NOT(cad_limites_ok),"Pendente",IF(K61=3,"A",IF(Q61&gt;=cad_limite_a,"A",IF(Q61&gt;=cad_limite_b,"B","C"))))))</f>
        <v/>
      </c>
      <c r="S61" s="40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36" t="n"/>
      <c r="B62" s="36" t="n"/>
      <c r="C62" s="37" t="n"/>
      <c r="D62" s="36" t="n"/>
      <c r="E62" s="38">
        <f>IF(D62="","",IFERROR(INDEX(lst_tipo_nome,MATCH(D62,lst_tipo_id,0)),"Tipo não cadastrado em Listas"))</f>
        <v/>
      </c>
      <c r="F62" s="36" t="n"/>
      <c r="G62" s="36" t="n"/>
      <c r="H62" s="36" t="n"/>
      <c r="I62" s="39" t="n"/>
      <c r="J62" s="38">
        <f>IF(OR(B62="",D62="",H62="",I62=""),"",IF(B62=H62&amp;"-"&amp;IFERROR(INDEX(lst_tipo_sigla,MATCH(D62,lst_tipo_id,0)),"???")&amp;"-"&amp;RIGHT("00"&amp;I62,3),"OK","Verificar: TAG difere de setor-sigla-número"))</f>
        <v/>
      </c>
      <c r="K62" s="39" t="n"/>
      <c r="L62" s="39" t="n"/>
      <c r="M62" s="39" t="n"/>
      <c r="N62" s="39" t="n"/>
      <c r="O62" s="39" t="n"/>
      <c r="P62" s="38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38">
        <f>IF(P62=5,SUM(K62:O62),"")</f>
        <v/>
      </c>
      <c r="R62" s="38">
        <f>IF(P62="","",IF(P62&lt;5,"Pendente",IF(NOT(cad_limites_ok),"Pendente",IF(K62=3,"A",IF(Q62&gt;=cad_limite_a,"A",IF(Q62&gt;=cad_limite_b,"B","C"))))))</f>
        <v/>
      </c>
      <c r="S62" s="40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36" t="n"/>
      <c r="B63" s="36" t="n"/>
      <c r="C63" s="37" t="n"/>
      <c r="D63" s="36" t="n"/>
      <c r="E63" s="38">
        <f>IF(D63="","",IFERROR(INDEX(lst_tipo_nome,MATCH(D63,lst_tipo_id,0)),"Tipo não cadastrado em Listas"))</f>
        <v/>
      </c>
      <c r="F63" s="36" t="n"/>
      <c r="G63" s="36" t="n"/>
      <c r="H63" s="36" t="n"/>
      <c r="I63" s="39" t="n"/>
      <c r="J63" s="38">
        <f>IF(OR(B63="",D63="",H63="",I63=""),"",IF(B63=H63&amp;"-"&amp;IFERROR(INDEX(lst_tipo_sigla,MATCH(D63,lst_tipo_id,0)),"???")&amp;"-"&amp;RIGHT("00"&amp;I63,3),"OK","Verificar: TAG difere de setor-sigla-número"))</f>
        <v/>
      </c>
      <c r="K63" s="39" t="n"/>
      <c r="L63" s="39" t="n"/>
      <c r="M63" s="39" t="n"/>
      <c r="N63" s="39" t="n"/>
      <c r="O63" s="39" t="n"/>
      <c r="P63" s="38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38">
        <f>IF(P63=5,SUM(K63:O63),"")</f>
        <v/>
      </c>
      <c r="R63" s="38">
        <f>IF(P63="","",IF(P63&lt;5,"Pendente",IF(NOT(cad_limites_ok),"Pendente",IF(K63=3,"A",IF(Q63&gt;=cad_limite_a,"A",IF(Q63&gt;=cad_limite_b,"B","C"))))))</f>
        <v/>
      </c>
      <c r="S63" s="40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36" t="n"/>
      <c r="B64" s="36" t="n"/>
      <c r="C64" s="37" t="n"/>
      <c r="D64" s="36" t="n"/>
      <c r="E64" s="38">
        <f>IF(D64="","",IFERROR(INDEX(lst_tipo_nome,MATCH(D64,lst_tipo_id,0)),"Tipo não cadastrado em Listas"))</f>
        <v/>
      </c>
      <c r="F64" s="36" t="n"/>
      <c r="G64" s="36" t="n"/>
      <c r="H64" s="36" t="n"/>
      <c r="I64" s="39" t="n"/>
      <c r="J64" s="38">
        <f>IF(OR(B64="",D64="",H64="",I64=""),"",IF(B64=H64&amp;"-"&amp;IFERROR(INDEX(lst_tipo_sigla,MATCH(D64,lst_tipo_id,0)),"???")&amp;"-"&amp;RIGHT("00"&amp;I64,3),"OK","Verificar: TAG difere de setor-sigla-número"))</f>
        <v/>
      </c>
      <c r="K64" s="39" t="n"/>
      <c r="L64" s="39" t="n"/>
      <c r="M64" s="39" t="n"/>
      <c r="N64" s="39" t="n"/>
      <c r="O64" s="39" t="n"/>
      <c r="P64" s="38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38">
        <f>IF(P64=5,SUM(K64:O64),"")</f>
        <v/>
      </c>
      <c r="R64" s="38">
        <f>IF(P64="","",IF(P64&lt;5,"Pendente",IF(NOT(cad_limites_ok),"Pendente",IF(K64=3,"A",IF(Q64&gt;=cad_limite_a,"A",IF(Q64&gt;=cad_limite_b,"B","C"))))))</f>
        <v/>
      </c>
      <c r="S64" s="40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36" t="n"/>
      <c r="B65" s="36" t="n"/>
      <c r="C65" s="37" t="n"/>
      <c r="D65" s="36" t="n"/>
      <c r="E65" s="38">
        <f>IF(D65="","",IFERROR(INDEX(lst_tipo_nome,MATCH(D65,lst_tipo_id,0)),"Tipo não cadastrado em Listas"))</f>
        <v/>
      </c>
      <c r="F65" s="36" t="n"/>
      <c r="G65" s="36" t="n"/>
      <c r="H65" s="36" t="n"/>
      <c r="I65" s="39" t="n"/>
      <c r="J65" s="38">
        <f>IF(OR(B65="",D65="",H65="",I65=""),"",IF(B65=H65&amp;"-"&amp;IFERROR(INDEX(lst_tipo_sigla,MATCH(D65,lst_tipo_id,0)),"???")&amp;"-"&amp;RIGHT("00"&amp;I65,3),"OK","Verificar: TAG difere de setor-sigla-número"))</f>
        <v/>
      </c>
      <c r="K65" s="39" t="n"/>
      <c r="L65" s="39" t="n"/>
      <c r="M65" s="39" t="n"/>
      <c r="N65" s="39" t="n"/>
      <c r="O65" s="39" t="n"/>
      <c r="P65" s="38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38">
        <f>IF(P65=5,SUM(K65:O65),"")</f>
        <v/>
      </c>
      <c r="R65" s="38">
        <f>IF(P65="","",IF(P65&lt;5,"Pendente",IF(NOT(cad_limites_ok),"Pendente",IF(K65=3,"A",IF(Q65&gt;=cad_limite_a,"A",IF(Q65&gt;=cad_limite_b,"B","C"))))))</f>
        <v/>
      </c>
      <c r="S65" s="40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36" t="n"/>
      <c r="B66" s="36" t="n"/>
      <c r="C66" s="37" t="n"/>
      <c r="D66" s="36" t="n"/>
      <c r="E66" s="38">
        <f>IF(D66="","",IFERROR(INDEX(lst_tipo_nome,MATCH(D66,lst_tipo_id,0)),"Tipo não cadastrado em Listas"))</f>
        <v/>
      </c>
      <c r="F66" s="36" t="n"/>
      <c r="G66" s="36" t="n"/>
      <c r="H66" s="36" t="n"/>
      <c r="I66" s="39" t="n"/>
      <c r="J66" s="38">
        <f>IF(OR(B66="",D66="",H66="",I66=""),"",IF(B66=H66&amp;"-"&amp;IFERROR(INDEX(lst_tipo_sigla,MATCH(D66,lst_tipo_id,0)),"???")&amp;"-"&amp;RIGHT("00"&amp;I66,3),"OK","Verificar: TAG difere de setor-sigla-número"))</f>
        <v/>
      </c>
      <c r="K66" s="39" t="n"/>
      <c r="L66" s="39" t="n"/>
      <c r="M66" s="39" t="n"/>
      <c r="N66" s="39" t="n"/>
      <c r="O66" s="39" t="n"/>
      <c r="P66" s="38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38">
        <f>IF(P66=5,SUM(K66:O66),"")</f>
        <v/>
      </c>
      <c r="R66" s="38">
        <f>IF(P66="","",IF(P66&lt;5,"Pendente",IF(NOT(cad_limites_ok),"Pendente",IF(K66=3,"A",IF(Q66&gt;=cad_limite_a,"A",IF(Q66&gt;=cad_limite_b,"B","C"))))))</f>
        <v/>
      </c>
      <c r="S66" s="40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36" t="n"/>
      <c r="B67" s="36" t="n"/>
      <c r="C67" s="37" t="n"/>
      <c r="D67" s="36" t="n"/>
      <c r="E67" s="38">
        <f>IF(D67="","",IFERROR(INDEX(lst_tipo_nome,MATCH(D67,lst_tipo_id,0)),"Tipo não cadastrado em Listas"))</f>
        <v/>
      </c>
      <c r="F67" s="36" t="n"/>
      <c r="G67" s="36" t="n"/>
      <c r="H67" s="36" t="n"/>
      <c r="I67" s="39" t="n"/>
      <c r="J67" s="38">
        <f>IF(OR(B67="",D67="",H67="",I67=""),"",IF(B67=H67&amp;"-"&amp;IFERROR(INDEX(lst_tipo_sigla,MATCH(D67,lst_tipo_id,0)),"???")&amp;"-"&amp;RIGHT("00"&amp;I67,3),"OK","Verificar: TAG difere de setor-sigla-número"))</f>
        <v/>
      </c>
      <c r="K67" s="39" t="n"/>
      <c r="L67" s="39" t="n"/>
      <c r="M67" s="39" t="n"/>
      <c r="N67" s="39" t="n"/>
      <c r="O67" s="39" t="n"/>
      <c r="P67" s="38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38">
        <f>IF(P67=5,SUM(K67:O67),"")</f>
        <v/>
      </c>
      <c r="R67" s="38">
        <f>IF(P67="","",IF(P67&lt;5,"Pendente",IF(NOT(cad_limites_ok),"Pendente",IF(K67=3,"A",IF(Q67&gt;=cad_limite_a,"A",IF(Q67&gt;=cad_limite_b,"B","C"))))))</f>
        <v/>
      </c>
      <c r="S67" s="40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36" t="n"/>
      <c r="B68" s="36" t="n"/>
      <c r="C68" s="37" t="n"/>
      <c r="D68" s="36" t="n"/>
      <c r="E68" s="38">
        <f>IF(D68="","",IFERROR(INDEX(lst_tipo_nome,MATCH(D68,lst_tipo_id,0)),"Tipo não cadastrado em Listas"))</f>
        <v/>
      </c>
      <c r="F68" s="36" t="n"/>
      <c r="G68" s="36" t="n"/>
      <c r="H68" s="36" t="n"/>
      <c r="I68" s="39" t="n"/>
      <c r="J68" s="38">
        <f>IF(OR(B68="",D68="",H68="",I68=""),"",IF(B68=H68&amp;"-"&amp;IFERROR(INDEX(lst_tipo_sigla,MATCH(D68,lst_tipo_id,0)),"???")&amp;"-"&amp;RIGHT("00"&amp;I68,3),"OK","Verificar: TAG difere de setor-sigla-número"))</f>
        <v/>
      </c>
      <c r="K68" s="39" t="n"/>
      <c r="L68" s="39" t="n"/>
      <c r="M68" s="39" t="n"/>
      <c r="N68" s="39" t="n"/>
      <c r="O68" s="39" t="n"/>
      <c r="P68" s="38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38">
        <f>IF(P68=5,SUM(K68:O68),"")</f>
        <v/>
      </c>
      <c r="R68" s="38">
        <f>IF(P68="","",IF(P68&lt;5,"Pendente",IF(NOT(cad_limites_ok),"Pendente",IF(K68=3,"A",IF(Q68&gt;=cad_limite_a,"A",IF(Q68&gt;=cad_limite_b,"B","C"))))))</f>
        <v/>
      </c>
      <c r="S68" s="40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36" t="n"/>
      <c r="B69" s="36" t="n"/>
      <c r="C69" s="37" t="n"/>
      <c r="D69" s="36" t="n"/>
      <c r="E69" s="38">
        <f>IF(D69="","",IFERROR(INDEX(lst_tipo_nome,MATCH(D69,lst_tipo_id,0)),"Tipo não cadastrado em Listas"))</f>
        <v/>
      </c>
      <c r="F69" s="36" t="n"/>
      <c r="G69" s="36" t="n"/>
      <c r="H69" s="36" t="n"/>
      <c r="I69" s="39" t="n"/>
      <c r="J69" s="38">
        <f>IF(OR(B69="",D69="",H69="",I69=""),"",IF(B69=H69&amp;"-"&amp;IFERROR(INDEX(lst_tipo_sigla,MATCH(D69,lst_tipo_id,0)),"???")&amp;"-"&amp;RIGHT("00"&amp;I69,3),"OK","Verificar: TAG difere de setor-sigla-número"))</f>
        <v/>
      </c>
      <c r="K69" s="39" t="n"/>
      <c r="L69" s="39" t="n"/>
      <c r="M69" s="39" t="n"/>
      <c r="N69" s="39" t="n"/>
      <c r="O69" s="39" t="n"/>
      <c r="P69" s="38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38">
        <f>IF(P69=5,SUM(K69:O69),"")</f>
        <v/>
      </c>
      <c r="R69" s="38">
        <f>IF(P69="","",IF(P69&lt;5,"Pendente",IF(NOT(cad_limites_ok),"Pendente",IF(K69=3,"A",IF(Q69&gt;=cad_limite_a,"A",IF(Q69&gt;=cad_limite_b,"B","C"))))))</f>
        <v/>
      </c>
      <c r="S69" s="40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36" t="n"/>
      <c r="B70" s="36" t="n"/>
      <c r="C70" s="37" t="n"/>
      <c r="D70" s="36" t="n"/>
      <c r="E70" s="38">
        <f>IF(D70="","",IFERROR(INDEX(lst_tipo_nome,MATCH(D70,lst_tipo_id,0)),"Tipo não cadastrado em Listas"))</f>
        <v/>
      </c>
      <c r="F70" s="36" t="n"/>
      <c r="G70" s="36" t="n"/>
      <c r="H70" s="36" t="n"/>
      <c r="I70" s="39" t="n"/>
      <c r="J70" s="38">
        <f>IF(OR(B70="",D70="",H70="",I70=""),"",IF(B70=H70&amp;"-"&amp;IFERROR(INDEX(lst_tipo_sigla,MATCH(D70,lst_tipo_id,0)),"???")&amp;"-"&amp;RIGHT("00"&amp;I70,3),"OK","Verificar: TAG difere de setor-sigla-número"))</f>
        <v/>
      </c>
      <c r="K70" s="39" t="n"/>
      <c r="L70" s="39" t="n"/>
      <c r="M70" s="39" t="n"/>
      <c r="N70" s="39" t="n"/>
      <c r="O70" s="39" t="n"/>
      <c r="P70" s="38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38">
        <f>IF(P70=5,SUM(K70:O70),"")</f>
        <v/>
      </c>
      <c r="R70" s="38">
        <f>IF(P70="","",IF(P70&lt;5,"Pendente",IF(NOT(cad_limites_ok),"Pendente",IF(K70=3,"A",IF(Q70&gt;=cad_limite_a,"A",IF(Q70&gt;=cad_limite_b,"B","C"))))))</f>
        <v/>
      </c>
      <c r="S70" s="40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36" t="n"/>
      <c r="B71" s="36" t="n"/>
      <c r="C71" s="37" t="n"/>
      <c r="D71" s="36" t="n"/>
      <c r="E71" s="38">
        <f>IF(D71="","",IFERROR(INDEX(lst_tipo_nome,MATCH(D71,lst_tipo_id,0)),"Tipo não cadastrado em Listas"))</f>
        <v/>
      </c>
      <c r="F71" s="36" t="n"/>
      <c r="G71" s="36" t="n"/>
      <c r="H71" s="36" t="n"/>
      <c r="I71" s="39" t="n"/>
      <c r="J71" s="38">
        <f>IF(OR(B71="",D71="",H71="",I71=""),"",IF(B71=H71&amp;"-"&amp;IFERROR(INDEX(lst_tipo_sigla,MATCH(D71,lst_tipo_id,0)),"???")&amp;"-"&amp;RIGHT("00"&amp;I71,3),"OK","Verificar: TAG difere de setor-sigla-número"))</f>
        <v/>
      </c>
      <c r="K71" s="39" t="n"/>
      <c r="L71" s="39" t="n"/>
      <c r="M71" s="39" t="n"/>
      <c r="N71" s="39" t="n"/>
      <c r="O71" s="39" t="n"/>
      <c r="P71" s="38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38">
        <f>IF(P71=5,SUM(K71:O71),"")</f>
        <v/>
      </c>
      <c r="R71" s="38">
        <f>IF(P71="","",IF(P71&lt;5,"Pendente",IF(NOT(cad_limites_ok),"Pendente",IF(K71=3,"A",IF(Q71&gt;=cad_limite_a,"A",IF(Q71&gt;=cad_limite_b,"B","C"))))))</f>
        <v/>
      </c>
      <c r="S71" s="40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36" t="n"/>
      <c r="B72" s="36" t="n"/>
      <c r="C72" s="37" t="n"/>
      <c r="D72" s="36" t="n"/>
      <c r="E72" s="38">
        <f>IF(D72="","",IFERROR(INDEX(lst_tipo_nome,MATCH(D72,lst_tipo_id,0)),"Tipo não cadastrado em Listas"))</f>
        <v/>
      </c>
      <c r="F72" s="36" t="n"/>
      <c r="G72" s="36" t="n"/>
      <c r="H72" s="36" t="n"/>
      <c r="I72" s="39" t="n"/>
      <c r="J72" s="38">
        <f>IF(OR(B72="",D72="",H72="",I72=""),"",IF(B72=H72&amp;"-"&amp;IFERROR(INDEX(lst_tipo_sigla,MATCH(D72,lst_tipo_id,0)),"???")&amp;"-"&amp;RIGHT("00"&amp;I72,3),"OK","Verificar: TAG difere de setor-sigla-número"))</f>
        <v/>
      </c>
      <c r="K72" s="39" t="n"/>
      <c r="L72" s="39" t="n"/>
      <c r="M72" s="39" t="n"/>
      <c r="N72" s="39" t="n"/>
      <c r="O72" s="39" t="n"/>
      <c r="P72" s="38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38">
        <f>IF(P72=5,SUM(K72:O72),"")</f>
        <v/>
      </c>
      <c r="R72" s="38">
        <f>IF(P72="","",IF(P72&lt;5,"Pendente",IF(NOT(cad_limites_ok),"Pendente",IF(K72=3,"A",IF(Q72&gt;=cad_limite_a,"A",IF(Q72&gt;=cad_limite_b,"B","C"))))))</f>
        <v/>
      </c>
      <c r="S72" s="40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36" t="n"/>
      <c r="B73" s="36" t="n"/>
      <c r="C73" s="37" t="n"/>
      <c r="D73" s="36" t="n"/>
      <c r="E73" s="38">
        <f>IF(D73="","",IFERROR(INDEX(lst_tipo_nome,MATCH(D73,lst_tipo_id,0)),"Tipo não cadastrado em Listas"))</f>
        <v/>
      </c>
      <c r="F73" s="36" t="n"/>
      <c r="G73" s="36" t="n"/>
      <c r="H73" s="36" t="n"/>
      <c r="I73" s="39" t="n"/>
      <c r="J73" s="38">
        <f>IF(OR(B73="",D73="",H73="",I73=""),"",IF(B73=H73&amp;"-"&amp;IFERROR(INDEX(lst_tipo_sigla,MATCH(D73,lst_tipo_id,0)),"???")&amp;"-"&amp;RIGHT("00"&amp;I73,3),"OK","Verificar: TAG difere de setor-sigla-número"))</f>
        <v/>
      </c>
      <c r="K73" s="39" t="n"/>
      <c r="L73" s="39" t="n"/>
      <c r="M73" s="39" t="n"/>
      <c r="N73" s="39" t="n"/>
      <c r="O73" s="39" t="n"/>
      <c r="P73" s="38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38">
        <f>IF(P73=5,SUM(K73:O73),"")</f>
        <v/>
      </c>
      <c r="R73" s="38">
        <f>IF(P73="","",IF(P73&lt;5,"Pendente",IF(NOT(cad_limites_ok),"Pendente",IF(K73=3,"A",IF(Q73&gt;=cad_limite_a,"A",IF(Q73&gt;=cad_limite_b,"B","C"))))))</f>
        <v/>
      </c>
      <c r="S73" s="40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36" t="n"/>
      <c r="B74" s="36" t="n"/>
      <c r="C74" s="37" t="n"/>
      <c r="D74" s="36" t="n"/>
      <c r="E74" s="38">
        <f>IF(D74="","",IFERROR(INDEX(lst_tipo_nome,MATCH(D74,lst_tipo_id,0)),"Tipo não cadastrado em Listas"))</f>
        <v/>
      </c>
      <c r="F74" s="36" t="n"/>
      <c r="G74" s="36" t="n"/>
      <c r="H74" s="36" t="n"/>
      <c r="I74" s="39" t="n"/>
      <c r="J74" s="38">
        <f>IF(OR(B74="",D74="",H74="",I74=""),"",IF(B74=H74&amp;"-"&amp;IFERROR(INDEX(lst_tipo_sigla,MATCH(D74,lst_tipo_id,0)),"???")&amp;"-"&amp;RIGHT("00"&amp;I74,3),"OK","Verificar: TAG difere de setor-sigla-número"))</f>
        <v/>
      </c>
      <c r="K74" s="39" t="n"/>
      <c r="L74" s="39" t="n"/>
      <c r="M74" s="39" t="n"/>
      <c r="N74" s="39" t="n"/>
      <c r="O74" s="39" t="n"/>
      <c r="P74" s="38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38">
        <f>IF(P74=5,SUM(K74:O74),"")</f>
        <v/>
      </c>
      <c r="R74" s="38">
        <f>IF(P74="","",IF(P74&lt;5,"Pendente",IF(NOT(cad_limites_ok),"Pendente",IF(K74=3,"A",IF(Q74&gt;=cad_limite_a,"A",IF(Q74&gt;=cad_limite_b,"B","C"))))))</f>
        <v/>
      </c>
      <c r="S74" s="40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36" t="n"/>
      <c r="B75" s="36" t="n"/>
      <c r="C75" s="37" t="n"/>
      <c r="D75" s="36" t="n"/>
      <c r="E75" s="38">
        <f>IF(D75="","",IFERROR(INDEX(lst_tipo_nome,MATCH(D75,lst_tipo_id,0)),"Tipo não cadastrado em Listas"))</f>
        <v/>
      </c>
      <c r="F75" s="36" t="n"/>
      <c r="G75" s="36" t="n"/>
      <c r="H75" s="36" t="n"/>
      <c r="I75" s="39" t="n"/>
      <c r="J75" s="38">
        <f>IF(OR(B75="",D75="",H75="",I75=""),"",IF(B75=H75&amp;"-"&amp;IFERROR(INDEX(lst_tipo_sigla,MATCH(D75,lst_tipo_id,0)),"???")&amp;"-"&amp;RIGHT("00"&amp;I75,3),"OK","Verificar: TAG difere de setor-sigla-número"))</f>
        <v/>
      </c>
      <c r="K75" s="39" t="n"/>
      <c r="L75" s="39" t="n"/>
      <c r="M75" s="39" t="n"/>
      <c r="N75" s="39" t="n"/>
      <c r="O75" s="39" t="n"/>
      <c r="P75" s="38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38">
        <f>IF(P75=5,SUM(K75:O75),"")</f>
        <v/>
      </c>
      <c r="R75" s="38">
        <f>IF(P75="","",IF(P75&lt;5,"Pendente",IF(NOT(cad_limites_ok),"Pendente",IF(K75=3,"A",IF(Q75&gt;=cad_limite_a,"A",IF(Q75&gt;=cad_limite_b,"B","C"))))))</f>
        <v/>
      </c>
      <c r="S75" s="40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36" t="n"/>
      <c r="B76" s="36" t="n"/>
      <c r="C76" s="37" t="n"/>
      <c r="D76" s="36" t="n"/>
      <c r="E76" s="38">
        <f>IF(D76="","",IFERROR(INDEX(lst_tipo_nome,MATCH(D76,lst_tipo_id,0)),"Tipo não cadastrado em Listas"))</f>
        <v/>
      </c>
      <c r="F76" s="36" t="n"/>
      <c r="G76" s="36" t="n"/>
      <c r="H76" s="36" t="n"/>
      <c r="I76" s="39" t="n"/>
      <c r="J76" s="38">
        <f>IF(OR(B76="",D76="",H76="",I76=""),"",IF(B76=H76&amp;"-"&amp;IFERROR(INDEX(lst_tipo_sigla,MATCH(D76,lst_tipo_id,0)),"???")&amp;"-"&amp;RIGHT("00"&amp;I76,3),"OK","Verificar: TAG difere de setor-sigla-número"))</f>
        <v/>
      </c>
      <c r="K76" s="39" t="n"/>
      <c r="L76" s="39" t="n"/>
      <c r="M76" s="39" t="n"/>
      <c r="N76" s="39" t="n"/>
      <c r="O76" s="39" t="n"/>
      <c r="P76" s="38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38">
        <f>IF(P76=5,SUM(K76:O76),"")</f>
        <v/>
      </c>
      <c r="R76" s="38">
        <f>IF(P76="","",IF(P76&lt;5,"Pendente",IF(NOT(cad_limites_ok),"Pendente",IF(K76=3,"A",IF(Q76&gt;=cad_limite_a,"A",IF(Q76&gt;=cad_limite_b,"B","C"))))))</f>
        <v/>
      </c>
      <c r="S76" s="40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36" t="n"/>
      <c r="B77" s="36" t="n"/>
      <c r="C77" s="37" t="n"/>
      <c r="D77" s="36" t="n"/>
      <c r="E77" s="38">
        <f>IF(D77="","",IFERROR(INDEX(lst_tipo_nome,MATCH(D77,lst_tipo_id,0)),"Tipo não cadastrado em Listas"))</f>
        <v/>
      </c>
      <c r="F77" s="36" t="n"/>
      <c r="G77" s="36" t="n"/>
      <c r="H77" s="36" t="n"/>
      <c r="I77" s="39" t="n"/>
      <c r="J77" s="38">
        <f>IF(OR(B77="",D77="",H77="",I77=""),"",IF(B77=H77&amp;"-"&amp;IFERROR(INDEX(lst_tipo_sigla,MATCH(D77,lst_tipo_id,0)),"???")&amp;"-"&amp;RIGHT("00"&amp;I77,3),"OK","Verificar: TAG difere de setor-sigla-número"))</f>
        <v/>
      </c>
      <c r="K77" s="39" t="n"/>
      <c r="L77" s="39" t="n"/>
      <c r="M77" s="39" t="n"/>
      <c r="N77" s="39" t="n"/>
      <c r="O77" s="39" t="n"/>
      <c r="P77" s="38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38">
        <f>IF(P77=5,SUM(K77:O77),"")</f>
        <v/>
      </c>
      <c r="R77" s="38">
        <f>IF(P77="","",IF(P77&lt;5,"Pendente",IF(NOT(cad_limites_ok),"Pendente",IF(K77=3,"A",IF(Q77&gt;=cad_limite_a,"A",IF(Q77&gt;=cad_limite_b,"B","C"))))))</f>
        <v/>
      </c>
      <c r="S77" s="40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36" t="n"/>
      <c r="B78" s="36" t="n"/>
      <c r="C78" s="37" t="n"/>
      <c r="D78" s="36" t="n"/>
      <c r="E78" s="38">
        <f>IF(D78="","",IFERROR(INDEX(lst_tipo_nome,MATCH(D78,lst_tipo_id,0)),"Tipo não cadastrado em Listas"))</f>
        <v/>
      </c>
      <c r="F78" s="36" t="n"/>
      <c r="G78" s="36" t="n"/>
      <c r="H78" s="36" t="n"/>
      <c r="I78" s="39" t="n"/>
      <c r="J78" s="38">
        <f>IF(OR(B78="",D78="",H78="",I78=""),"",IF(B78=H78&amp;"-"&amp;IFERROR(INDEX(lst_tipo_sigla,MATCH(D78,lst_tipo_id,0)),"???")&amp;"-"&amp;RIGHT("00"&amp;I78,3),"OK","Verificar: TAG difere de setor-sigla-número"))</f>
        <v/>
      </c>
      <c r="K78" s="39" t="n"/>
      <c r="L78" s="39" t="n"/>
      <c r="M78" s="39" t="n"/>
      <c r="N78" s="39" t="n"/>
      <c r="O78" s="39" t="n"/>
      <c r="P78" s="38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38">
        <f>IF(P78=5,SUM(K78:O78),"")</f>
        <v/>
      </c>
      <c r="R78" s="38">
        <f>IF(P78="","",IF(P78&lt;5,"Pendente",IF(NOT(cad_limites_ok),"Pendente",IF(K78=3,"A",IF(Q78&gt;=cad_limite_a,"A",IF(Q78&gt;=cad_limite_b,"B","C"))))))</f>
        <v/>
      </c>
      <c r="S78" s="40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36" t="n"/>
      <c r="B79" s="36" t="n"/>
      <c r="C79" s="37" t="n"/>
      <c r="D79" s="36" t="n"/>
      <c r="E79" s="38">
        <f>IF(D79="","",IFERROR(INDEX(lst_tipo_nome,MATCH(D79,lst_tipo_id,0)),"Tipo não cadastrado em Listas"))</f>
        <v/>
      </c>
      <c r="F79" s="36" t="n"/>
      <c r="G79" s="36" t="n"/>
      <c r="H79" s="36" t="n"/>
      <c r="I79" s="39" t="n"/>
      <c r="J79" s="38">
        <f>IF(OR(B79="",D79="",H79="",I79=""),"",IF(B79=H79&amp;"-"&amp;IFERROR(INDEX(lst_tipo_sigla,MATCH(D79,lst_tipo_id,0)),"???")&amp;"-"&amp;RIGHT("00"&amp;I79,3),"OK","Verificar: TAG difere de setor-sigla-número"))</f>
        <v/>
      </c>
      <c r="K79" s="39" t="n"/>
      <c r="L79" s="39" t="n"/>
      <c r="M79" s="39" t="n"/>
      <c r="N79" s="39" t="n"/>
      <c r="O79" s="39" t="n"/>
      <c r="P79" s="38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38">
        <f>IF(P79=5,SUM(K79:O79),"")</f>
        <v/>
      </c>
      <c r="R79" s="38">
        <f>IF(P79="","",IF(P79&lt;5,"Pendente",IF(NOT(cad_limites_ok),"Pendente",IF(K79=3,"A",IF(Q79&gt;=cad_limite_a,"A",IF(Q79&gt;=cad_limite_b,"B","C"))))))</f>
        <v/>
      </c>
      <c r="S79" s="40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36" t="n"/>
      <c r="B80" s="36" t="n"/>
      <c r="C80" s="37" t="n"/>
      <c r="D80" s="36" t="n"/>
      <c r="E80" s="38">
        <f>IF(D80="","",IFERROR(INDEX(lst_tipo_nome,MATCH(D80,lst_tipo_id,0)),"Tipo não cadastrado em Listas"))</f>
        <v/>
      </c>
      <c r="F80" s="36" t="n"/>
      <c r="G80" s="36" t="n"/>
      <c r="H80" s="36" t="n"/>
      <c r="I80" s="39" t="n"/>
      <c r="J80" s="38">
        <f>IF(OR(B80="",D80="",H80="",I80=""),"",IF(B80=H80&amp;"-"&amp;IFERROR(INDEX(lst_tipo_sigla,MATCH(D80,lst_tipo_id,0)),"???")&amp;"-"&amp;RIGHT("00"&amp;I80,3),"OK","Verificar: TAG difere de setor-sigla-número"))</f>
        <v/>
      </c>
      <c r="K80" s="39" t="n"/>
      <c r="L80" s="39" t="n"/>
      <c r="M80" s="39" t="n"/>
      <c r="N80" s="39" t="n"/>
      <c r="O80" s="39" t="n"/>
      <c r="P80" s="38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38">
        <f>IF(P80=5,SUM(K80:O80),"")</f>
        <v/>
      </c>
      <c r="R80" s="38">
        <f>IF(P80="","",IF(P80&lt;5,"Pendente",IF(NOT(cad_limites_ok),"Pendente",IF(K80=3,"A",IF(Q80&gt;=cad_limite_a,"A",IF(Q80&gt;=cad_limite_b,"B","C"))))))</f>
        <v/>
      </c>
      <c r="S80" s="40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36" t="n"/>
      <c r="B81" s="36" t="n"/>
      <c r="C81" s="37" t="n"/>
      <c r="D81" s="36" t="n"/>
      <c r="E81" s="38">
        <f>IF(D81="","",IFERROR(INDEX(lst_tipo_nome,MATCH(D81,lst_tipo_id,0)),"Tipo não cadastrado em Listas"))</f>
        <v/>
      </c>
      <c r="F81" s="36" t="n"/>
      <c r="G81" s="36" t="n"/>
      <c r="H81" s="36" t="n"/>
      <c r="I81" s="39" t="n"/>
      <c r="J81" s="38">
        <f>IF(OR(B81="",D81="",H81="",I81=""),"",IF(B81=H81&amp;"-"&amp;IFERROR(INDEX(lst_tipo_sigla,MATCH(D81,lst_tipo_id,0)),"???")&amp;"-"&amp;RIGHT("00"&amp;I81,3),"OK","Verificar: TAG difere de setor-sigla-número"))</f>
        <v/>
      </c>
      <c r="K81" s="39" t="n"/>
      <c r="L81" s="39" t="n"/>
      <c r="M81" s="39" t="n"/>
      <c r="N81" s="39" t="n"/>
      <c r="O81" s="39" t="n"/>
      <c r="P81" s="38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38">
        <f>IF(P81=5,SUM(K81:O81),"")</f>
        <v/>
      </c>
      <c r="R81" s="38">
        <f>IF(P81="","",IF(P81&lt;5,"Pendente",IF(NOT(cad_limites_ok),"Pendente",IF(K81=3,"A",IF(Q81&gt;=cad_limite_a,"A",IF(Q81&gt;=cad_limite_b,"B","C"))))))</f>
        <v/>
      </c>
      <c r="S81" s="40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36" t="n"/>
      <c r="B82" s="36" t="n"/>
      <c r="C82" s="37" t="n"/>
      <c r="D82" s="36" t="n"/>
      <c r="E82" s="38">
        <f>IF(D82="","",IFERROR(INDEX(lst_tipo_nome,MATCH(D82,lst_tipo_id,0)),"Tipo não cadastrado em Listas"))</f>
        <v/>
      </c>
      <c r="F82" s="36" t="n"/>
      <c r="G82" s="36" t="n"/>
      <c r="H82" s="36" t="n"/>
      <c r="I82" s="39" t="n"/>
      <c r="J82" s="38">
        <f>IF(OR(B82="",D82="",H82="",I82=""),"",IF(B82=H82&amp;"-"&amp;IFERROR(INDEX(lst_tipo_sigla,MATCH(D82,lst_tipo_id,0)),"???")&amp;"-"&amp;RIGHT("00"&amp;I82,3),"OK","Verificar: TAG difere de setor-sigla-número"))</f>
        <v/>
      </c>
      <c r="K82" s="39" t="n"/>
      <c r="L82" s="39" t="n"/>
      <c r="M82" s="39" t="n"/>
      <c r="N82" s="39" t="n"/>
      <c r="O82" s="39" t="n"/>
      <c r="P82" s="38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38">
        <f>IF(P82=5,SUM(K82:O82),"")</f>
        <v/>
      </c>
      <c r="R82" s="38">
        <f>IF(P82="","",IF(P82&lt;5,"Pendente",IF(NOT(cad_limites_ok),"Pendente",IF(K82=3,"A",IF(Q82&gt;=cad_limite_a,"A",IF(Q82&gt;=cad_limite_b,"B","C"))))))</f>
        <v/>
      </c>
      <c r="S82" s="40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36" t="n"/>
      <c r="B83" s="36" t="n"/>
      <c r="C83" s="37" t="n"/>
      <c r="D83" s="36" t="n"/>
      <c r="E83" s="38">
        <f>IF(D83="","",IFERROR(INDEX(lst_tipo_nome,MATCH(D83,lst_tipo_id,0)),"Tipo não cadastrado em Listas"))</f>
        <v/>
      </c>
      <c r="F83" s="36" t="n"/>
      <c r="G83" s="36" t="n"/>
      <c r="H83" s="36" t="n"/>
      <c r="I83" s="39" t="n"/>
      <c r="J83" s="38">
        <f>IF(OR(B83="",D83="",H83="",I83=""),"",IF(B83=H83&amp;"-"&amp;IFERROR(INDEX(lst_tipo_sigla,MATCH(D83,lst_tipo_id,0)),"???")&amp;"-"&amp;RIGHT("00"&amp;I83,3),"OK","Verificar: TAG difere de setor-sigla-número"))</f>
        <v/>
      </c>
      <c r="K83" s="39" t="n"/>
      <c r="L83" s="39" t="n"/>
      <c r="M83" s="39" t="n"/>
      <c r="N83" s="39" t="n"/>
      <c r="O83" s="39" t="n"/>
      <c r="P83" s="38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38">
        <f>IF(P83=5,SUM(K83:O83),"")</f>
        <v/>
      </c>
      <c r="R83" s="38">
        <f>IF(P83="","",IF(P83&lt;5,"Pendente",IF(NOT(cad_limites_ok),"Pendente",IF(K83=3,"A",IF(Q83&gt;=cad_limite_a,"A",IF(Q83&gt;=cad_limite_b,"B","C"))))))</f>
        <v/>
      </c>
      <c r="S83" s="40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36" t="n"/>
      <c r="B84" s="36" t="n"/>
      <c r="C84" s="37" t="n"/>
      <c r="D84" s="36" t="n"/>
      <c r="E84" s="38">
        <f>IF(D84="","",IFERROR(INDEX(lst_tipo_nome,MATCH(D84,lst_tipo_id,0)),"Tipo não cadastrado em Listas"))</f>
        <v/>
      </c>
      <c r="F84" s="36" t="n"/>
      <c r="G84" s="36" t="n"/>
      <c r="H84" s="36" t="n"/>
      <c r="I84" s="39" t="n"/>
      <c r="J84" s="38">
        <f>IF(OR(B84="",D84="",H84="",I84=""),"",IF(B84=H84&amp;"-"&amp;IFERROR(INDEX(lst_tipo_sigla,MATCH(D84,lst_tipo_id,0)),"???")&amp;"-"&amp;RIGHT("00"&amp;I84,3),"OK","Verificar: TAG difere de setor-sigla-número"))</f>
        <v/>
      </c>
      <c r="K84" s="39" t="n"/>
      <c r="L84" s="39" t="n"/>
      <c r="M84" s="39" t="n"/>
      <c r="N84" s="39" t="n"/>
      <c r="O84" s="39" t="n"/>
      <c r="P84" s="38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38">
        <f>IF(P84=5,SUM(K84:O84),"")</f>
        <v/>
      </c>
      <c r="R84" s="38">
        <f>IF(P84="","",IF(P84&lt;5,"Pendente",IF(NOT(cad_limites_ok),"Pendente",IF(K84=3,"A",IF(Q84&gt;=cad_limite_a,"A",IF(Q84&gt;=cad_limite_b,"B","C"))))))</f>
        <v/>
      </c>
      <c r="S84" s="40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36" t="n"/>
      <c r="B85" s="36" t="n"/>
      <c r="C85" s="37" t="n"/>
      <c r="D85" s="36" t="n"/>
      <c r="E85" s="38">
        <f>IF(D85="","",IFERROR(INDEX(lst_tipo_nome,MATCH(D85,lst_tipo_id,0)),"Tipo não cadastrado em Listas"))</f>
        <v/>
      </c>
      <c r="F85" s="36" t="n"/>
      <c r="G85" s="36" t="n"/>
      <c r="H85" s="36" t="n"/>
      <c r="I85" s="39" t="n"/>
      <c r="J85" s="38">
        <f>IF(OR(B85="",D85="",H85="",I85=""),"",IF(B85=H85&amp;"-"&amp;IFERROR(INDEX(lst_tipo_sigla,MATCH(D85,lst_tipo_id,0)),"???")&amp;"-"&amp;RIGHT("00"&amp;I85,3),"OK","Verificar: TAG difere de setor-sigla-número"))</f>
        <v/>
      </c>
      <c r="K85" s="39" t="n"/>
      <c r="L85" s="39" t="n"/>
      <c r="M85" s="39" t="n"/>
      <c r="N85" s="39" t="n"/>
      <c r="O85" s="39" t="n"/>
      <c r="P85" s="38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38">
        <f>IF(P85=5,SUM(K85:O85),"")</f>
        <v/>
      </c>
      <c r="R85" s="38">
        <f>IF(P85="","",IF(P85&lt;5,"Pendente",IF(NOT(cad_limites_ok),"Pendente",IF(K85=3,"A",IF(Q85&gt;=cad_limite_a,"A",IF(Q85&gt;=cad_limite_b,"B","C"))))))</f>
        <v/>
      </c>
      <c r="S85" s="40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36" t="n"/>
      <c r="B86" s="36" t="n"/>
      <c r="C86" s="37" t="n"/>
      <c r="D86" s="36" t="n"/>
      <c r="E86" s="38">
        <f>IF(D86="","",IFERROR(INDEX(lst_tipo_nome,MATCH(D86,lst_tipo_id,0)),"Tipo não cadastrado em Listas"))</f>
        <v/>
      </c>
      <c r="F86" s="36" t="n"/>
      <c r="G86" s="36" t="n"/>
      <c r="H86" s="36" t="n"/>
      <c r="I86" s="39" t="n"/>
      <c r="J86" s="38">
        <f>IF(OR(B86="",D86="",H86="",I86=""),"",IF(B86=H86&amp;"-"&amp;IFERROR(INDEX(lst_tipo_sigla,MATCH(D86,lst_tipo_id,0)),"???")&amp;"-"&amp;RIGHT("00"&amp;I86,3),"OK","Verificar: TAG difere de setor-sigla-número"))</f>
        <v/>
      </c>
      <c r="K86" s="39" t="n"/>
      <c r="L86" s="39" t="n"/>
      <c r="M86" s="39" t="n"/>
      <c r="N86" s="39" t="n"/>
      <c r="O86" s="39" t="n"/>
      <c r="P86" s="38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38">
        <f>IF(P86=5,SUM(K86:O86),"")</f>
        <v/>
      </c>
      <c r="R86" s="38">
        <f>IF(P86="","",IF(P86&lt;5,"Pendente",IF(NOT(cad_limites_ok),"Pendente",IF(K86=3,"A",IF(Q86&gt;=cad_limite_a,"A",IF(Q86&gt;=cad_limite_b,"B","C"))))))</f>
        <v/>
      </c>
      <c r="S86" s="40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36" t="n"/>
      <c r="B87" s="36" t="n"/>
      <c r="C87" s="37" t="n"/>
      <c r="D87" s="36" t="n"/>
      <c r="E87" s="38">
        <f>IF(D87="","",IFERROR(INDEX(lst_tipo_nome,MATCH(D87,lst_tipo_id,0)),"Tipo não cadastrado em Listas"))</f>
        <v/>
      </c>
      <c r="F87" s="36" t="n"/>
      <c r="G87" s="36" t="n"/>
      <c r="H87" s="36" t="n"/>
      <c r="I87" s="39" t="n"/>
      <c r="J87" s="38">
        <f>IF(OR(B87="",D87="",H87="",I87=""),"",IF(B87=H87&amp;"-"&amp;IFERROR(INDEX(lst_tipo_sigla,MATCH(D87,lst_tipo_id,0)),"???")&amp;"-"&amp;RIGHT("00"&amp;I87,3),"OK","Verificar: TAG difere de setor-sigla-número"))</f>
        <v/>
      </c>
      <c r="K87" s="39" t="n"/>
      <c r="L87" s="39" t="n"/>
      <c r="M87" s="39" t="n"/>
      <c r="N87" s="39" t="n"/>
      <c r="O87" s="39" t="n"/>
      <c r="P87" s="38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38">
        <f>IF(P87=5,SUM(K87:O87),"")</f>
        <v/>
      </c>
      <c r="R87" s="38">
        <f>IF(P87="","",IF(P87&lt;5,"Pendente",IF(NOT(cad_limites_ok),"Pendente",IF(K87=3,"A",IF(Q87&gt;=cad_limite_a,"A",IF(Q87&gt;=cad_limite_b,"B","C"))))))</f>
        <v/>
      </c>
      <c r="S87" s="40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36" t="n"/>
      <c r="B88" s="36" t="n"/>
      <c r="C88" s="37" t="n"/>
      <c r="D88" s="36" t="n"/>
      <c r="E88" s="38">
        <f>IF(D88="","",IFERROR(INDEX(lst_tipo_nome,MATCH(D88,lst_tipo_id,0)),"Tipo não cadastrado em Listas"))</f>
        <v/>
      </c>
      <c r="F88" s="36" t="n"/>
      <c r="G88" s="36" t="n"/>
      <c r="H88" s="36" t="n"/>
      <c r="I88" s="39" t="n"/>
      <c r="J88" s="38">
        <f>IF(OR(B88="",D88="",H88="",I88=""),"",IF(B88=H88&amp;"-"&amp;IFERROR(INDEX(lst_tipo_sigla,MATCH(D88,lst_tipo_id,0)),"???")&amp;"-"&amp;RIGHT("00"&amp;I88,3),"OK","Verificar: TAG difere de setor-sigla-número"))</f>
        <v/>
      </c>
      <c r="K88" s="39" t="n"/>
      <c r="L88" s="39" t="n"/>
      <c r="M88" s="39" t="n"/>
      <c r="N88" s="39" t="n"/>
      <c r="O88" s="39" t="n"/>
      <c r="P88" s="38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38">
        <f>IF(P88=5,SUM(K88:O88),"")</f>
        <v/>
      </c>
      <c r="R88" s="38">
        <f>IF(P88="","",IF(P88&lt;5,"Pendente",IF(NOT(cad_limites_ok),"Pendente",IF(K88=3,"A",IF(Q88&gt;=cad_limite_a,"A",IF(Q88&gt;=cad_limite_b,"B","C"))))))</f>
        <v/>
      </c>
      <c r="S88" s="40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36" t="n"/>
      <c r="B89" s="36" t="n"/>
      <c r="C89" s="37" t="n"/>
      <c r="D89" s="36" t="n"/>
      <c r="E89" s="38">
        <f>IF(D89="","",IFERROR(INDEX(lst_tipo_nome,MATCH(D89,lst_tipo_id,0)),"Tipo não cadastrado em Listas"))</f>
        <v/>
      </c>
      <c r="F89" s="36" t="n"/>
      <c r="G89" s="36" t="n"/>
      <c r="H89" s="36" t="n"/>
      <c r="I89" s="39" t="n"/>
      <c r="J89" s="38">
        <f>IF(OR(B89="",D89="",H89="",I89=""),"",IF(B89=H89&amp;"-"&amp;IFERROR(INDEX(lst_tipo_sigla,MATCH(D89,lst_tipo_id,0)),"???")&amp;"-"&amp;RIGHT("00"&amp;I89,3),"OK","Verificar: TAG difere de setor-sigla-número"))</f>
        <v/>
      </c>
      <c r="K89" s="39" t="n"/>
      <c r="L89" s="39" t="n"/>
      <c r="M89" s="39" t="n"/>
      <c r="N89" s="39" t="n"/>
      <c r="O89" s="39" t="n"/>
      <c r="P89" s="38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38">
        <f>IF(P89=5,SUM(K89:O89),"")</f>
        <v/>
      </c>
      <c r="R89" s="38">
        <f>IF(P89="","",IF(P89&lt;5,"Pendente",IF(NOT(cad_limites_ok),"Pendente",IF(K89=3,"A",IF(Q89&gt;=cad_limite_a,"A",IF(Q89&gt;=cad_limite_b,"B","C"))))))</f>
        <v/>
      </c>
      <c r="S89" s="40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36" t="n"/>
      <c r="B90" s="36" t="n"/>
      <c r="C90" s="37" t="n"/>
      <c r="D90" s="36" t="n"/>
      <c r="E90" s="38">
        <f>IF(D90="","",IFERROR(INDEX(lst_tipo_nome,MATCH(D90,lst_tipo_id,0)),"Tipo não cadastrado em Listas"))</f>
        <v/>
      </c>
      <c r="F90" s="36" t="n"/>
      <c r="G90" s="36" t="n"/>
      <c r="H90" s="36" t="n"/>
      <c r="I90" s="39" t="n"/>
      <c r="J90" s="38">
        <f>IF(OR(B90="",D90="",H90="",I90=""),"",IF(B90=H90&amp;"-"&amp;IFERROR(INDEX(lst_tipo_sigla,MATCH(D90,lst_tipo_id,0)),"???")&amp;"-"&amp;RIGHT("00"&amp;I90,3),"OK","Verificar: TAG difere de setor-sigla-número"))</f>
        <v/>
      </c>
      <c r="K90" s="39" t="n"/>
      <c r="L90" s="39" t="n"/>
      <c r="M90" s="39" t="n"/>
      <c r="N90" s="39" t="n"/>
      <c r="O90" s="39" t="n"/>
      <c r="P90" s="38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38">
        <f>IF(P90=5,SUM(K90:O90),"")</f>
        <v/>
      </c>
      <c r="R90" s="38">
        <f>IF(P90="","",IF(P90&lt;5,"Pendente",IF(NOT(cad_limites_ok),"Pendente",IF(K90=3,"A",IF(Q90&gt;=cad_limite_a,"A",IF(Q90&gt;=cad_limite_b,"B","C"))))))</f>
        <v/>
      </c>
      <c r="S90" s="40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36" t="n"/>
      <c r="B91" s="36" t="n"/>
      <c r="C91" s="37" t="n"/>
      <c r="D91" s="36" t="n"/>
      <c r="E91" s="38">
        <f>IF(D91="","",IFERROR(INDEX(lst_tipo_nome,MATCH(D91,lst_tipo_id,0)),"Tipo não cadastrado em Listas"))</f>
        <v/>
      </c>
      <c r="F91" s="36" t="n"/>
      <c r="G91" s="36" t="n"/>
      <c r="H91" s="36" t="n"/>
      <c r="I91" s="39" t="n"/>
      <c r="J91" s="38">
        <f>IF(OR(B91="",D91="",H91="",I91=""),"",IF(B91=H91&amp;"-"&amp;IFERROR(INDEX(lst_tipo_sigla,MATCH(D91,lst_tipo_id,0)),"???")&amp;"-"&amp;RIGHT("00"&amp;I91,3),"OK","Verificar: TAG difere de setor-sigla-número"))</f>
        <v/>
      </c>
      <c r="K91" s="39" t="n"/>
      <c r="L91" s="39" t="n"/>
      <c r="M91" s="39" t="n"/>
      <c r="N91" s="39" t="n"/>
      <c r="O91" s="39" t="n"/>
      <c r="P91" s="38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38">
        <f>IF(P91=5,SUM(K91:O91),"")</f>
        <v/>
      </c>
      <c r="R91" s="38">
        <f>IF(P91="","",IF(P91&lt;5,"Pendente",IF(NOT(cad_limites_ok),"Pendente",IF(K91=3,"A",IF(Q91&gt;=cad_limite_a,"A",IF(Q91&gt;=cad_limite_b,"B","C"))))))</f>
        <v/>
      </c>
      <c r="S91" s="40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36" t="n"/>
      <c r="B92" s="36" t="n"/>
      <c r="C92" s="37" t="n"/>
      <c r="D92" s="36" t="n"/>
      <c r="E92" s="38">
        <f>IF(D92="","",IFERROR(INDEX(lst_tipo_nome,MATCH(D92,lst_tipo_id,0)),"Tipo não cadastrado em Listas"))</f>
        <v/>
      </c>
      <c r="F92" s="36" t="n"/>
      <c r="G92" s="36" t="n"/>
      <c r="H92" s="36" t="n"/>
      <c r="I92" s="39" t="n"/>
      <c r="J92" s="38">
        <f>IF(OR(B92="",D92="",H92="",I92=""),"",IF(B92=H92&amp;"-"&amp;IFERROR(INDEX(lst_tipo_sigla,MATCH(D92,lst_tipo_id,0)),"???")&amp;"-"&amp;RIGHT("00"&amp;I92,3),"OK","Verificar: TAG difere de setor-sigla-número"))</f>
        <v/>
      </c>
      <c r="K92" s="39" t="n"/>
      <c r="L92" s="39" t="n"/>
      <c r="M92" s="39" t="n"/>
      <c r="N92" s="39" t="n"/>
      <c r="O92" s="39" t="n"/>
      <c r="P92" s="38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38">
        <f>IF(P92=5,SUM(K92:O92),"")</f>
        <v/>
      </c>
      <c r="R92" s="38">
        <f>IF(P92="","",IF(P92&lt;5,"Pendente",IF(NOT(cad_limites_ok),"Pendente",IF(K92=3,"A",IF(Q92&gt;=cad_limite_a,"A",IF(Q92&gt;=cad_limite_b,"B","C"))))))</f>
        <v/>
      </c>
      <c r="S92" s="40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36" t="n"/>
      <c r="B93" s="36" t="n"/>
      <c r="C93" s="37" t="n"/>
      <c r="D93" s="36" t="n"/>
      <c r="E93" s="38">
        <f>IF(D93="","",IFERROR(INDEX(lst_tipo_nome,MATCH(D93,lst_tipo_id,0)),"Tipo não cadastrado em Listas"))</f>
        <v/>
      </c>
      <c r="F93" s="36" t="n"/>
      <c r="G93" s="36" t="n"/>
      <c r="H93" s="36" t="n"/>
      <c r="I93" s="39" t="n"/>
      <c r="J93" s="38">
        <f>IF(OR(B93="",D93="",H93="",I93=""),"",IF(B93=H93&amp;"-"&amp;IFERROR(INDEX(lst_tipo_sigla,MATCH(D93,lst_tipo_id,0)),"???")&amp;"-"&amp;RIGHT("00"&amp;I93,3),"OK","Verificar: TAG difere de setor-sigla-número"))</f>
        <v/>
      </c>
      <c r="K93" s="39" t="n"/>
      <c r="L93" s="39" t="n"/>
      <c r="M93" s="39" t="n"/>
      <c r="N93" s="39" t="n"/>
      <c r="O93" s="39" t="n"/>
      <c r="P93" s="38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38">
        <f>IF(P93=5,SUM(K93:O93),"")</f>
        <v/>
      </c>
      <c r="R93" s="38">
        <f>IF(P93="","",IF(P93&lt;5,"Pendente",IF(NOT(cad_limites_ok),"Pendente",IF(K93=3,"A",IF(Q93&gt;=cad_limite_a,"A",IF(Q93&gt;=cad_limite_b,"B","C"))))))</f>
        <v/>
      </c>
      <c r="S93" s="40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36" t="n"/>
      <c r="B94" s="36" t="n"/>
      <c r="C94" s="37" t="n"/>
      <c r="D94" s="36" t="n"/>
      <c r="E94" s="38">
        <f>IF(D94="","",IFERROR(INDEX(lst_tipo_nome,MATCH(D94,lst_tipo_id,0)),"Tipo não cadastrado em Listas"))</f>
        <v/>
      </c>
      <c r="F94" s="36" t="n"/>
      <c r="G94" s="36" t="n"/>
      <c r="H94" s="36" t="n"/>
      <c r="I94" s="39" t="n"/>
      <c r="J94" s="38">
        <f>IF(OR(B94="",D94="",H94="",I94=""),"",IF(B94=H94&amp;"-"&amp;IFERROR(INDEX(lst_tipo_sigla,MATCH(D94,lst_tipo_id,0)),"???")&amp;"-"&amp;RIGHT("00"&amp;I94,3),"OK","Verificar: TAG difere de setor-sigla-número"))</f>
        <v/>
      </c>
      <c r="K94" s="39" t="n"/>
      <c r="L94" s="39" t="n"/>
      <c r="M94" s="39" t="n"/>
      <c r="N94" s="39" t="n"/>
      <c r="O94" s="39" t="n"/>
      <c r="P94" s="38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38">
        <f>IF(P94=5,SUM(K94:O94),"")</f>
        <v/>
      </c>
      <c r="R94" s="38">
        <f>IF(P94="","",IF(P94&lt;5,"Pendente",IF(NOT(cad_limites_ok),"Pendente",IF(K94=3,"A",IF(Q94&gt;=cad_limite_a,"A",IF(Q94&gt;=cad_limite_b,"B","C"))))))</f>
        <v/>
      </c>
      <c r="S94" s="40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36" t="n"/>
      <c r="B95" s="36" t="n"/>
      <c r="C95" s="37" t="n"/>
      <c r="D95" s="36" t="n"/>
      <c r="E95" s="38">
        <f>IF(D95="","",IFERROR(INDEX(lst_tipo_nome,MATCH(D95,lst_tipo_id,0)),"Tipo não cadastrado em Listas"))</f>
        <v/>
      </c>
      <c r="F95" s="36" t="n"/>
      <c r="G95" s="36" t="n"/>
      <c r="H95" s="36" t="n"/>
      <c r="I95" s="39" t="n"/>
      <c r="J95" s="38">
        <f>IF(OR(B95="",D95="",H95="",I95=""),"",IF(B95=H95&amp;"-"&amp;IFERROR(INDEX(lst_tipo_sigla,MATCH(D95,lst_tipo_id,0)),"???")&amp;"-"&amp;RIGHT("00"&amp;I95,3),"OK","Verificar: TAG difere de setor-sigla-número"))</f>
        <v/>
      </c>
      <c r="K95" s="39" t="n"/>
      <c r="L95" s="39" t="n"/>
      <c r="M95" s="39" t="n"/>
      <c r="N95" s="39" t="n"/>
      <c r="O95" s="39" t="n"/>
      <c r="P95" s="38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38">
        <f>IF(P95=5,SUM(K95:O95),"")</f>
        <v/>
      </c>
      <c r="R95" s="38">
        <f>IF(P95="","",IF(P95&lt;5,"Pendente",IF(NOT(cad_limites_ok),"Pendente",IF(K95=3,"A",IF(Q95&gt;=cad_limite_a,"A",IF(Q95&gt;=cad_limite_b,"B","C"))))))</f>
        <v/>
      </c>
      <c r="S95" s="40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36" t="n"/>
      <c r="B96" s="36" t="n"/>
      <c r="C96" s="37" t="n"/>
      <c r="D96" s="36" t="n"/>
      <c r="E96" s="38">
        <f>IF(D96="","",IFERROR(INDEX(lst_tipo_nome,MATCH(D96,lst_tipo_id,0)),"Tipo não cadastrado em Listas"))</f>
        <v/>
      </c>
      <c r="F96" s="36" t="n"/>
      <c r="G96" s="36" t="n"/>
      <c r="H96" s="36" t="n"/>
      <c r="I96" s="39" t="n"/>
      <c r="J96" s="38">
        <f>IF(OR(B96="",D96="",H96="",I96=""),"",IF(B96=H96&amp;"-"&amp;IFERROR(INDEX(lst_tipo_sigla,MATCH(D96,lst_tipo_id,0)),"???")&amp;"-"&amp;RIGHT("00"&amp;I96,3),"OK","Verificar: TAG difere de setor-sigla-número"))</f>
        <v/>
      </c>
      <c r="K96" s="39" t="n"/>
      <c r="L96" s="39" t="n"/>
      <c r="M96" s="39" t="n"/>
      <c r="N96" s="39" t="n"/>
      <c r="O96" s="39" t="n"/>
      <c r="P96" s="38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38">
        <f>IF(P96=5,SUM(K96:O96),"")</f>
        <v/>
      </c>
      <c r="R96" s="38">
        <f>IF(P96="","",IF(P96&lt;5,"Pendente",IF(NOT(cad_limites_ok),"Pendente",IF(K96=3,"A",IF(Q96&gt;=cad_limite_a,"A",IF(Q96&gt;=cad_limite_b,"B","C"))))))</f>
        <v/>
      </c>
      <c r="S96" s="40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36" t="n"/>
      <c r="B97" s="36" t="n"/>
      <c r="C97" s="37" t="n"/>
      <c r="D97" s="36" t="n"/>
      <c r="E97" s="38">
        <f>IF(D97="","",IFERROR(INDEX(lst_tipo_nome,MATCH(D97,lst_tipo_id,0)),"Tipo não cadastrado em Listas"))</f>
        <v/>
      </c>
      <c r="F97" s="36" t="n"/>
      <c r="G97" s="36" t="n"/>
      <c r="H97" s="36" t="n"/>
      <c r="I97" s="39" t="n"/>
      <c r="J97" s="38">
        <f>IF(OR(B97="",D97="",H97="",I97=""),"",IF(B97=H97&amp;"-"&amp;IFERROR(INDEX(lst_tipo_sigla,MATCH(D97,lst_tipo_id,0)),"???")&amp;"-"&amp;RIGHT("00"&amp;I97,3),"OK","Verificar: TAG difere de setor-sigla-número"))</f>
        <v/>
      </c>
      <c r="K97" s="39" t="n"/>
      <c r="L97" s="39" t="n"/>
      <c r="M97" s="39" t="n"/>
      <c r="N97" s="39" t="n"/>
      <c r="O97" s="39" t="n"/>
      <c r="P97" s="38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38">
        <f>IF(P97=5,SUM(K97:O97),"")</f>
        <v/>
      </c>
      <c r="R97" s="38">
        <f>IF(P97="","",IF(P97&lt;5,"Pendente",IF(NOT(cad_limites_ok),"Pendente",IF(K97=3,"A",IF(Q97&gt;=cad_limite_a,"A",IF(Q97&gt;=cad_limite_b,"B","C"))))))</f>
        <v/>
      </c>
      <c r="S97" s="40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36" t="n"/>
      <c r="B98" s="36" t="n"/>
      <c r="C98" s="37" t="n"/>
      <c r="D98" s="36" t="n"/>
      <c r="E98" s="38">
        <f>IF(D98="","",IFERROR(INDEX(lst_tipo_nome,MATCH(D98,lst_tipo_id,0)),"Tipo não cadastrado em Listas"))</f>
        <v/>
      </c>
      <c r="F98" s="36" t="n"/>
      <c r="G98" s="36" t="n"/>
      <c r="H98" s="36" t="n"/>
      <c r="I98" s="39" t="n"/>
      <c r="J98" s="38">
        <f>IF(OR(B98="",D98="",H98="",I98=""),"",IF(B98=H98&amp;"-"&amp;IFERROR(INDEX(lst_tipo_sigla,MATCH(D98,lst_tipo_id,0)),"???")&amp;"-"&amp;RIGHT("00"&amp;I98,3),"OK","Verificar: TAG difere de setor-sigla-número"))</f>
        <v/>
      </c>
      <c r="K98" s="39" t="n"/>
      <c r="L98" s="39" t="n"/>
      <c r="M98" s="39" t="n"/>
      <c r="N98" s="39" t="n"/>
      <c r="O98" s="39" t="n"/>
      <c r="P98" s="38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38">
        <f>IF(P98=5,SUM(K98:O98),"")</f>
        <v/>
      </c>
      <c r="R98" s="38">
        <f>IF(P98="","",IF(P98&lt;5,"Pendente",IF(NOT(cad_limites_ok),"Pendente",IF(K98=3,"A",IF(Q98&gt;=cad_limite_a,"A",IF(Q98&gt;=cad_limite_b,"B","C"))))))</f>
        <v/>
      </c>
      <c r="S98" s="40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36" t="n"/>
      <c r="B99" s="36" t="n"/>
      <c r="C99" s="37" t="n"/>
      <c r="D99" s="36" t="n"/>
      <c r="E99" s="38">
        <f>IF(D99="","",IFERROR(INDEX(lst_tipo_nome,MATCH(D99,lst_tipo_id,0)),"Tipo não cadastrado em Listas"))</f>
        <v/>
      </c>
      <c r="F99" s="36" t="n"/>
      <c r="G99" s="36" t="n"/>
      <c r="H99" s="36" t="n"/>
      <c r="I99" s="39" t="n"/>
      <c r="J99" s="38">
        <f>IF(OR(B99="",D99="",H99="",I99=""),"",IF(B99=H99&amp;"-"&amp;IFERROR(INDEX(lst_tipo_sigla,MATCH(D99,lst_tipo_id,0)),"???")&amp;"-"&amp;RIGHT("00"&amp;I99,3),"OK","Verificar: TAG difere de setor-sigla-número"))</f>
        <v/>
      </c>
      <c r="K99" s="39" t="n"/>
      <c r="L99" s="39" t="n"/>
      <c r="M99" s="39" t="n"/>
      <c r="N99" s="39" t="n"/>
      <c r="O99" s="39" t="n"/>
      <c r="P99" s="38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38">
        <f>IF(P99=5,SUM(K99:O99),"")</f>
        <v/>
      </c>
      <c r="R99" s="38">
        <f>IF(P99="","",IF(P99&lt;5,"Pendente",IF(NOT(cad_limites_ok),"Pendente",IF(K99=3,"A",IF(Q99&gt;=cad_limite_a,"A",IF(Q99&gt;=cad_limite_b,"B","C"))))))</f>
        <v/>
      </c>
      <c r="S99" s="40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36" t="n"/>
      <c r="B100" s="36" t="n"/>
      <c r="C100" s="37" t="n"/>
      <c r="D100" s="36" t="n"/>
      <c r="E100" s="38">
        <f>IF(D100="","",IFERROR(INDEX(lst_tipo_nome,MATCH(D100,lst_tipo_id,0)),"Tipo não cadastrado em Listas"))</f>
        <v/>
      </c>
      <c r="F100" s="36" t="n"/>
      <c r="G100" s="36" t="n"/>
      <c r="H100" s="36" t="n"/>
      <c r="I100" s="39" t="n"/>
      <c r="J100" s="38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39" t="n"/>
      <c r="L100" s="39" t="n"/>
      <c r="M100" s="39" t="n"/>
      <c r="N100" s="39" t="n"/>
      <c r="O100" s="39" t="n"/>
      <c r="P100" s="38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38">
        <f>IF(P100=5,SUM(K100:O100),"")</f>
        <v/>
      </c>
      <c r="R100" s="38">
        <f>IF(P100="","",IF(P100&lt;5,"Pendente",IF(NOT(cad_limites_ok),"Pendente",IF(K100=3,"A",IF(Q100&gt;=cad_limite_a,"A",IF(Q100&gt;=cad_limite_b,"B","C"))))))</f>
        <v/>
      </c>
      <c r="S100" s="40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36" t="n"/>
      <c r="B101" s="36" t="n"/>
      <c r="C101" s="37" t="n"/>
      <c r="D101" s="36" t="n"/>
      <c r="E101" s="38">
        <f>IF(D101="","",IFERROR(INDEX(lst_tipo_nome,MATCH(D101,lst_tipo_id,0)),"Tipo não cadastrado em Listas"))</f>
        <v/>
      </c>
      <c r="F101" s="36" t="n"/>
      <c r="G101" s="36" t="n"/>
      <c r="H101" s="36" t="n"/>
      <c r="I101" s="39" t="n"/>
      <c r="J101" s="38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39" t="n"/>
      <c r="L101" s="39" t="n"/>
      <c r="M101" s="39" t="n"/>
      <c r="N101" s="39" t="n"/>
      <c r="O101" s="39" t="n"/>
      <c r="P101" s="38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38">
        <f>IF(P101=5,SUM(K101:O101),"")</f>
        <v/>
      </c>
      <c r="R101" s="38">
        <f>IF(P101="","",IF(P101&lt;5,"Pendente",IF(NOT(cad_limites_ok),"Pendente",IF(K101=3,"A",IF(Q101&gt;=cad_limite_a,"A",IF(Q101&gt;=cad_limite_b,"B","C"))))))</f>
        <v/>
      </c>
      <c r="S101" s="40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36" t="n"/>
      <c r="B102" s="36" t="n"/>
      <c r="C102" s="37" t="n"/>
      <c r="D102" s="36" t="n"/>
      <c r="E102" s="38">
        <f>IF(D102="","",IFERROR(INDEX(lst_tipo_nome,MATCH(D102,lst_tipo_id,0)),"Tipo não cadastrado em Listas"))</f>
        <v/>
      </c>
      <c r="F102" s="36" t="n"/>
      <c r="G102" s="36" t="n"/>
      <c r="H102" s="36" t="n"/>
      <c r="I102" s="39" t="n"/>
      <c r="J102" s="38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39" t="n"/>
      <c r="L102" s="39" t="n"/>
      <c r="M102" s="39" t="n"/>
      <c r="N102" s="39" t="n"/>
      <c r="O102" s="39" t="n"/>
      <c r="P102" s="38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38">
        <f>IF(P102=5,SUM(K102:O102),"")</f>
        <v/>
      </c>
      <c r="R102" s="38">
        <f>IF(P102="","",IF(P102&lt;5,"Pendente",IF(NOT(cad_limites_ok),"Pendente",IF(K102=3,"A",IF(Q102&gt;=cad_limite_a,"A",IF(Q102&gt;=cad_limite_b,"B","C"))))))</f>
        <v/>
      </c>
      <c r="S102" s="40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36" t="n"/>
      <c r="B103" s="36" t="n"/>
      <c r="C103" s="37" t="n"/>
      <c r="D103" s="36" t="n"/>
      <c r="E103" s="38">
        <f>IF(D103="","",IFERROR(INDEX(lst_tipo_nome,MATCH(D103,lst_tipo_id,0)),"Tipo não cadastrado em Listas"))</f>
        <v/>
      </c>
      <c r="F103" s="36" t="n"/>
      <c r="G103" s="36" t="n"/>
      <c r="H103" s="36" t="n"/>
      <c r="I103" s="39" t="n"/>
      <c r="J103" s="38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39" t="n"/>
      <c r="L103" s="39" t="n"/>
      <c r="M103" s="39" t="n"/>
      <c r="N103" s="39" t="n"/>
      <c r="O103" s="39" t="n"/>
      <c r="P103" s="38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38">
        <f>IF(P103=5,SUM(K103:O103),"")</f>
        <v/>
      </c>
      <c r="R103" s="38">
        <f>IF(P103="","",IF(P103&lt;5,"Pendente",IF(NOT(cad_limites_ok),"Pendente",IF(K103=3,"A",IF(Q103&gt;=cad_limite_a,"A",IF(Q103&gt;=cad_limite_b,"B","C"))))))</f>
        <v/>
      </c>
      <c r="S103" s="40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36" t="n"/>
      <c r="B104" s="36" t="n"/>
      <c r="C104" s="37" t="n"/>
      <c r="D104" s="36" t="n"/>
      <c r="E104" s="38">
        <f>IF(D104="","",IFERROR(INDEX(lst_tipo_nome,MATCH(D104,lst_tipo_id,0)),"Tipo não cadastrado em Listas"))</f>
        <v/>
      </c>
      <c r="F104" s="36" t="n"/>
      <c r="G104" s="36" t="n"/>
      <c r="H104" s="36" t="n"/>
      <c r="I104" s="39" t="n"/>
      <c r="J104" s="38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39" t="n"/>
      <c r="L104" s="39" t="n"/>
      <c r="M104" s="39" t="n"/>
      <c r="N104" s="39" t="n"/>
      <c r="O104" s="39" t="n"/>
      <c r="P104" s="38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38">
        <f>IF(P104=5,SUM(K104:O104),"")</f>
        <v/>
      </c>
      <c r="R104" s="38">
        <f>IF(P104="","",IF(P104&lt;5,"Pendente",IF(NOT(cad_limites_ok),"Pendente",IF(K104=3,"A",IF(Q104&gt;=cad_limite_a,"A",IF(Q104&gt;=cad_limite_b,"B","C"))))))</f>
        <v/>
      </c>
      <c r="S104" s="40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36" t="n"/>
      <c r="B105" s="36" t="n"/>
      <c r="C105" s="37" t="n"/>
      <c r="D105" s="36" t="n"/>
      <c r="E105" s="38">
        <f>IF(D105="","",IFERROR(INDEX(lst_tipo_nome,MATCH(D105,lst_tipo_id,0)),"Tipo não cadastrado em Listas"))</f>
        <v/>
      </c>
      <c r="F105" s="36" t="n"/>
      <c r="G105" s="36" t="n"/>
      <c r="H105" s="36" t="n"/>
      <c r="I105" s="39" t="n"/>
      <c r="J105" s="38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39" t="n"/>
      <c r="L105" s="39" t="n"/>
      <c r="M105" s="39" t="n"/>
      <c r="N105" s="39" t="n"/>
      <c r="O105" s="39" t="n"/>
      <c r="P105" s="38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38">
        <f>IF(P105=5,SUM(K105:O105),"")</f>
        <v/>
      </c>
      <c r="R105" s="38">
        <f>IF(P105="","",IF(P105&lt;5,"Pendente",IF(NOT(cad_limites_ok),"Pendente",IF(K105=3,"A",IF(Q105&gt;=cad_limite_a,"A",IF(Q105&gt;=cad_limite_b,"B","C"))))))</f>
        <v/>
      </c>
      <c r="S105" s="40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36" t="n"/>
      <c r="B106" s="36" t="n"/>
      <c r="C106" s="37" t="n"/>
      <c r="D106" s="36" t="n"/>
      <c r="E106" s="38">
        <f>IF(D106="","",IFERROR(INDEX(lst_tipo_nome,MATCH(D106,lst_tipo_id,0)),"Tipo não cadastrado em Listas"))</f>
        <v/>
      </c>
      <c r="F106" s="36" t="n"/>
      <c r="G106" s="36" t="n"/>
      <c r="H106" s="36" t="n"/>
      <c r="I106" s="39" t="n"/>
      <c r="J106" s="38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39" t="n"/>
      <c r="L106" s="39" t="n"/>
      <c r="M106" s="39" t="n"/>
      <c r="N106" s="39" t="n"/>
      <c r="O106" s="39" t="n"/>
      <c r="P106" s="38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38">
        <f>IF(P106=5,SUM(K106:O106),"")</f>
        <v/>
      </c>
      <c r="R106" s="38">
        <f>IF(P106="","",IF(P106&lt;5,"Pendente",IF(NOT(cad_limites_ok),"Pendente",IF(K106=3,"A",IF(Q106&gt;=cad_limite_a,"A",IF(Q106&gt;=cad_limite_b,"B","C"))))))</f>
        <v/>
      </c>
      <c r="S106" s="40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36" t="n"/>
      <c r="B107" s="36" t="n"/>
      <c r="C107" s="37" t="n"/>
      <c r="D107" s="36" t="n"/>
      <c r="E107" s="38">
        <f>IF(D107="","",IFERROR(INDEX(lst_tipo_nome,MATCH(D107,lst_tipo_id,0)),"Tipo não cadastrado em Listas"))</f>
        <v/>
      </c>
      <c r="F107" s="36" t="n"/>
      <c r="G107" s="36" t="n"/>
      <c r="H107" s="36" t="n"/>
      <c r="I107" s="39" t="n"/>
      <c r="J107" s="38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39" t="n"/>
      <c r="L107" s="39" t="n"/>
      <c r="M107" s="39" t="n"/>
      <c r="N107" s="39" t="n"/>
      <c r="O107" s="39" t="n"/>
      <c r="P107" s="38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38">
        <f>IF(P107=5,SUM(K107:O107),"")</f>
        <v/>
      </c>
      <c r="R107" s="38">
        <f>IF(P107="","",IF(P107&lt;5,"Pendente",IF(NOT(cad_limites_ok),"Pendente",IF(K107=3,"A",IF(Q107&gt;=cad_limite_a,"A",IF(Q107&gt;=cad_limite_b,"B","C"))))))</f>
        <v/>
      </c>
      <c r="S107" s="40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36" t="n"/>
      <c r="B108" s="36" t="n"/>
      <c r="C108" s="37" t="n"/>
      <c r="D108" s="36" t="n"/>
      <c r="E108" s="38">
        <f>IF(D108="","",IFERROR(INDEX(lst_tipo_nome,MATCH(D108,lst_tipo_id,0)),"Tipo não cadastrado em Listas"))</f>
        <v/>
      </c>
      <c r="F108" s="36" t="n"/>
      <c r="G108" s="36" t="n"/>
      <c r="H108" s="36" t="n"/>
      <c r="I108" s="39" t="n"/>
      <c r="J108" s="38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39" t="n"/>
      <c r="L108" s="39" t="n"/>
      <c r="M108" s="39" t="n"/>
      <c r="N108" s="39" t="n"/>
      <c r="O108" s="39" t="n"/>
      <c r="P108" s="38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38">
        <f>IF(P108=5,SUM(K108:O108),"")</f>
        <v/>
      </c>
      <c r="R108" s="38">
        <f>IF(P108="","",IF(P108&lt;5,"Pendente",IF(NOT(cad_limites_ok),"Pendente",IF(K108=3,"A",IF(Q108&gt;=cad_limite_a,"A",IF(Q108&gt;=cad_limite_b,"B","C"))))))</f>
        <v/>
      </c>
      <c r="S108" s="40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36" t="n"/>
      <c r="B109" s="36" t="n"/>
      <c r="C109" s="37" t="n"/>
      <c r="D109" s="36" t="n"/>
      <c r="E109" s="38">
        <f>IF(D109="","",IFERROR(INDEX(lst_tipo_nome,MATCH(D109,lst_tipo_id,0)),"Tipo não cadastrado em Listas"))</f>
        <v/>
      </c>
      <c r="F109" s="36" t="n"/>
      <c r="G109" s="36" t="n"/>
      <c r="H109" s="36" t="n"/>
      <c r="I109" s="39" t="n"/>
      <c r="J109" s="38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39" t="n"/>
      <c r="L109" s="39" t="n"/>
      <c r="M109" s="39" t="n"/>
      <c r="N109" s="39" t="n"/>
      <c r="O109" s="39" t="n"/>
      <c r="P109" s="38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38">
        <f>IF(P109=5,SUM(K109:O109),"")</f>
        <v/>
      </c>
      <c r="R109" s="38">
        <f>IF(P109="","",IF(P109&lt;5,"Pendente",IF(NOT(cad_limites_ok),"Pendente",IF(K109=3,"A",IF(Q109&gt;=cad_limite_a,"A",IF(Q109&gt;=cad_limite_b,"B","C"))))))</f>
        <v/>
      </c>
      <c r="S109" s="40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36" t="n"/>
      <c r="B110" s="36" t="n"/>
      <c r="C110" s="37" t="n"/>
      <c r="D110" s="36" t="n"/>
      <c r="E110" s="38">
        <f>IF(D110="","",IFERROR(INDEX(lst_tipo_nome,MATCH(D110,lst_tipo_id,0)),"Tipo não cadastrado em Listas"))</f>
        <v/>
      </c>
      <c r="F110" s="36" t="n"/>
      <c r="G110" s="36" t="n"/>
      <c r="H110" s="36" t="n"/>
      <c r="I110" s="39" t="n"/>
      <c r="J110" s="38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39" t="n"/>
      <c r="L110" s="39" t="n"/>
      <c r="M110" s="39" t="n"/>
      <c r="N110" s="39" t="n"/>
      <c r="O110" s="39" t="n"/>
      <c r="P110" s="38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38">
        <f>IF(P110=5,SUM(K110:O110),"")</f>
        <v/>
      </c>
      <c r="R110" s="38">
        <f>IF(P110="","",IF(P110&lt;5,"Pendente",IF(NOT(cad_limites_ok),"Pendente",IF(K110=3,"A",IF(Q110&gt;=cad_limite_a,"A",IF(Q110&gt;=cad_limite_b,"B","C"))))))</f>
        <v/>
      </c>
      <c r="S110" s="40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36" t="n"/>
      <c r="B111" s="36" t="n"/>
      <c r="C111" s="37" t="n"/>
      <c r="D111" s="36" t="n"/>
      <c r="E111" s="38">
        <f>IF(D111="","",IFERROR(INDEX(lst_tipo_nome,MATCH(D111,lst_tipo_id,0)),"Tipo não cadastrado em Listas"))</f>
        <v/>
      </c>
      <c r="F111" s="36" t="n"/>
      <c r="G111" s="36" t="n"/>
      <c r="H111" s="36" t="n"/>
      <c r="I111" s="39" t="n"/>
      <c r="J111" s="38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39" t="n"/>
      <c r="L111" s="39" t="n"/>
      <c r="M111" s="39" t="n"/>
      <c r="N111" s="39" t="n"/>
      <c r="O111" s="39" t="n"/>
      <c r="P111" s="38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38">
        <f>IF(P111=5,SUM(K111:O111),"")</f>
        <v/>
      </c>
      <c r="R111" s="38">
        <f>IF(P111="","",IF(P111&lt;5,"Pendente",IF(NOT(cad_limites_ok),"Pendente",IF(K111=3,"A",IF(Q111&gt;=cad_limite_a,"A",IF(Q111&gt;=cad_limite_b,"B","C"))))))</f>
        <v/>
      </c>
      <c r="S111" s="40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36" t="n"/>
      <c r="B112" s="36" t="n"/>
      <c r="C112" s="37" t="n"/>
      <c r="D112" s="36" t="n"/>
      <c r="E112" s="38">
        <f>IF(D112="","",IFERROR(INDEX(lst_tipo_nome,MATCH(D112,lst_tipo_id,0)),"Tipo não cadastrado em Listas"))</f>
        <v/>
      </c>
      <c r="F112" s="36" t="n"/>
      <c r="G112" s="36" t="n"/>
      <c r="H112" s="36" t="n"/>
      <c r="I112" s="39" t="n"/>
      <c r="J112" s="38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39" t="n"/>
      <c r="L112" s="39" t="n"/>
      <c r="M112" s="39" t="n"/>
      <c r="N112" s="39" t="n"/>
      <c r="O112" s="39" t="n"/>
      <c r="P112" s="38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38">
        <f>IF(P112=5,SUM(K112:O112),"")</f>
        <v/>
      </c>
      <c r="R112" s="38">
        <f>IF(P112="","",IF(P112&lt;5,"Pendente",IF(NOT(cad_limites_ok),"Pendente",IF(K112=3,"A",IF(Q112&gt;=cad_limite_a,"A",IF(Q112&gt;=cad_limite_b,"B","C"))))))</f>
        <v/>
      </c>
      <c r="S112" s="40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36" t="n"/>
      <c r="B113" s="36" t="n"/>
      <c r="C113" s="37" t="n"/>
      <c r="D113" s="36" t="n"/>
      <c r="E113" s="38">
        <f>IF(D113="","",IFERROR(INDEX(lst_tipo_nome,MATCH(D113,lst_tipo_id,0)),"Tipo não cadastrado em Listas"))</f>
        <v/>
      </c>
      <c r="F113" s="36" t="n"/>
      <c r="G113" s="36" t="n"/>
      <c r="H113" s="36" t="n"/>
      <c r="I113" s="39" t="n"/>
      <c r="J113" s="38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39" t="n"/>
      <c r="L113" s="39" t="n"/>
      <c r="M113" s="39" t="n"/>
      <c r="N113" s="39" t="n"/>
      <c r="O113" s="39" t="n"/>
      <c r="P113" s="38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38">
        <f>IF(P113=5,SUM(K113:O113),"")</f>
        <v/>
      </c>
      <c r="R113" s="38">
        <f>IF(P113="","",IF(P113&lt;5,"Pendente",IF(NOT(cad_limites_ok),"Pendente",IF(K113=3,"A",IF(Q113&gt;=cad_limite_a,"A",IF(Q113&gt;=cad_limite_b,"B","C"))))))</f>
        <v/>
      </c>
      <c r="S113" s="40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36" t="n"/>
      <c r="B114" s="36" t="n"/>
      <c r="C114" s="37" t="n"/>
      <c r="D114" s="36" t="n"/>
      <c r="E114" s="38">
        <f>IF(D114="","",IFERROR(INDEX(lst_tipo_nome,MATCH(D114,lst_tipo_id,0)),"Tipo não cadastrado em Listas"))</f>
        <v/>
      </c>
      <c r="F114" s="36" t="n"/>
      <c r="G114" s="36" t="n"/>
      <c r="H114" s="36" t="n"/>
      <c r="I114" s="39" t="n"/>
      <c r="J114" s="38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39" t="n"/>
      <c r="L114" s="39" t="n"/>
      <c r="M114" s="39" t="n"/>
      <c r="N114" s="39" t="n"/>
      <c r="O114" s="39" t="n"/>
      <c r="P114" s="38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38">
        <f>IF(P114=5,SUM(K114:O114),"")</f>
        <v/>
      </c>
      <c r="R114" s="38">
        <f>IF(P114="","",IF(P114&lt;5,"Pendente",IF(NOT(cad_limites_ok),"Pendente",IF(K114=3,"A",IF(Q114&gt;=cad_limite_a,"A",IF(Q114&gt;=cad_limite_b,"B","C"))))))</f>
        <v/>
      </c>
      <c r="S114" s="40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36" t="n"/>
      <c r="B115" s="36" t="n"/>
      <c r="C115" s="37" t="n"/>
      <c r="D115" s="36" t="n"/>
      <c r="E115" s="38">
        <f>IF(D115="","",IFERROR(INDEX(lst_tipo_nome,MATCH(D115,lst_tipo_id,0)),"Tipo não cadastrado em Listas"))</f>
        <v/>
      </c>
      <c r="F115" s="36" t="n"/>
      <c r="G115" s="36" t="n"/>
      <c r="H115" s="36" t="n"/>
      <c r="I115" s="39" t="n"/>
      <c r="J115" s="38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39" t="n"/>
      <c r="L115" s="39" t="n"/>
      <c r="M115" s="39" t="n"/>
      <c r="N115" s="39" t="n"/>
      <c r="O115" s="39" t="n"/>
      <c r="P115" s="38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38">
        <f>IF(P115=5,SUM(K115:O115),"")</f>
        <v/>
      </c>
      <c r="R115" s="38">
        <f>IF(P115="","",IF(P115&lt;5,"Pendente",IF(NOT(cad_limites_ok),"Pendente",IF(K115=3,"A",IF(Q115&gt;=cad_limite_a,"A",IF(Q115&gt;=cad_limite_b,"B","C"))))))</f>
        <v/>
      </c>
      <c r="S115" s="40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36" t="n"/>
      <c r="B116" s="36" t="n"/>
      <c r="C116" s="37" t="n"/>
      <c r="D116" s="36" t="n"/>
      <c r="E116" s="38">
        <f>IF(D116="","",IFERROR(INDEX(lst_tipo_nome,MATCH(D116,lst_tipo_id,0)),"Tipo não cadastrado em Listas"))</f>
        <v/>
      </c>
      <c r="F116" s="36" t="n"/>
      <c r="G116" s="36" t="n"/>
      <c r="H116" s="36" t="n"/>
      <c r="I116" s="39" t="n"/>
      <c r="J116" s="38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39" t="n"/>
      <c r="L116" s="39" t="n"/>
      <c r="M116" s="39" t="n"/>
      <c r="N116" s="39" t="n"/>
      <c r="O116" s="39" t="n"/>
      <c r="P116" s="38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38">
        <f>IF(P116=5,SUM(K116:O116),"")</f>
        <v/>
      </c>
      <c r="R116" s="38">
        <f>IF(P116="","",IF(P116&lt;5,"Pendente",IF(NOT(cad_limites_ok),"Pendente",IF(K116=3,"A",IF(Q116&gt;=cad_limite_a,"A",IF(Q116&gt;=cad_limite_b,"B","C"))))))</f>
        <v/>
      </c>
      <c r="S116" s="40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36" t="n"/>
      <c r="B117" s="36" t="n"/>
      <c r="C117" s="37" t="n"/>
      <c r="D117" s="36" t="n"/>
      <c r="E117" s="38">
        <f>IF(D117="","",IFERROR(INDEX(lst_tipo_nome,MATCH(D117,lst_tipo_id,0)),"Tipo não cadastrado em Listas"))</f>
        <v/>
      </c>
      <c r="F117" s="36" t="n"/>
      <c r="G117" s="36" t="n"/>
      <c r="H117" s="36" t="n"/>
      <c r="I117" s="39" t="n"/>
      <c r="J117" s="38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39" t="n"/>
      <c r="L117" s="39" t="n"/>
      <c r="M117" s="39" t="n"/>
      <c r="N117" s="39" t="n"/>
      <c r="O117" s="39" t="n"/>
      <c r="P117" s="38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38">
        <f>IF(P117=5,SUM(K117:O117),"")</f>
        <v/>
      </c>
      <c r="R117" s="38">
        <f>IF(P117="","",IF(P117&lt;5,"Pendente",IF(NOT(cad_limites_ok),"Pendente",IF(K117=3,"A",IF(Q117&gt;=cad_limite_a,"A",IF(Q117&gt;=cad_limite_b,"B","C"))))))</f>
        <v/>
      </c>
      <c r="S117" s="40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36" t="n"/>
      <c r="B118" s="36" t="n"/>
      <c r="C118" s="37" t="n"/>
      <c r="D118" s="36" t="n"/>
      <c r="E118" s="38">
        <f>IF(D118="","",IFERROR(INDEX(lst_tipo_nome,MATCH(D118,lst_tipo_id,0)),"Tipo não cadastrado em Listas"))</f>
        <v/>
      </c>
      <c r="F118" s="36" t="n"/>
      <c r="G118" s="36" t="n"/>
      <c r="H118" s="36" t="n"/>
      <c r="I118" s="39" t="n"/>
      <c r="J118" s="38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39" t="n"/>
      <c r="L118" s="39" t="n"/>
      <c r="M118" s="39" t="n"/>
      <c r="N118" s="39" t="n"/>
      <c r="O118" s="39" t="n"/>
      <c r="P118" s="38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38">
        <f>IF(P118=5,SUM(K118:O118),"")</f>
        <v/>
      </c>
      <c r="R118" s="38">
        <f>IF(P118="","",IF(P118&lt;5,"Pendente",IF(NOT(cad_limites_ok),"Pendente",IF(K118=3,"A",IF(Q118&gt;=cad_limite_a,"A",IF(Q118&gt;=cad_limite_b,"B","C"))))))</f>
        <v/>
      </c>
      <c r="S118" s="40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36" t="n"/>
      <c r="B119" s="36" t="n"/>
      <c r="C119" s="37" t="n"/>
      <c r="D119" s="36" t="n"/>
      <c r="E119" s="38">
        <f>IF(D119="","",IFERROR(INDEX(lst_tipo_nome,MATCH(D119,lst_tipo_id,0)),"Tipo não cadastrado em Listas"))</f>
        <v/>
      </c>
      <c r="F119" s="36" t="n"/>
      <c r="G119" s="36" t="n"/>
      <c r="H119" s="36" t="n"/>
      <c r="I119" s="39" t="n"/>
      <c r="J119" s="38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39" t="n"/>
      <c r="L119" s="39" t="n"/>
      <c r="M119" s="39" t="n"/>
      <c r="N119" s="39" t="n"/>
      <c r="O119" s="39" t="n"/>
      <c r="P119" s="38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38">
        <f>IF(P119=5,SUM(K119:O119),"")</f>
        <v/>
      </c>
      <c r="R119" s="38">
        <f>IF(P119="","",IF(P119&lt;5,"Pendente",IF(NOT(cad_limites_ok),"Pendente",IF(K119=3,"A",IF(Q119&gt;=cad_limite_a,"A",IF(Q119&gt;=cad_limite_b,"B","C"))))))</f>
        <v/>
      </c>
      <c r="S119" s="40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36" t="n"/>
      <c r="B120" s="36" t="n"/>
      <c r="C120" s="37" t="n"/>
      <c r="D120" s="36" t="n"/>
      <c r="E120" s="38">
        <f>IF(D120="","",IFERROR(INDEX(lst_tipo_nome,MATCH(D120,lst_tipo_id,0)),"Tipo não cadastrado em Listas"))</f>
        <v/>
      </c>
      <c r="F120" s="36" t="n"/>
      <c r="G120" s="36" t="n"/>
      <c r="H120" s="36" t="n"/>
      <c r="I120" s="39" t="n"/>
      <c r="J120" s="38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39" t="n"/>
      <c r="L120" s="39" t="n"/>
      <c r="M120" s="39" t="n"/>
      <c r="N120" s="39" t="n"/>
      <c r="O120" s="39" t="n"/>
      <c r="P120" s="38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38">
        <f>IF(P120=5,SUM(K120:O120),"")</f>
        <v/>
      </c>
      <c r="R120" s="38">
        <f>IF(P120="","",IF(P120&lt;5,"Pendente",IF(NOT(cad_limites_ok),"Pendente",IF(K120=3,"A",IF(Q120&gt;=cad_limite_a,"A",IF(Q120&gt;=cad_limite_b,"B","C"))))))</f>
        <v/>
      </c>
      <c r="S120" s="40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36" t="n"/>
      <c r="B121" s="36" t="n"/>
      <c r="C121" s="37" t="n"/>
      <c r="D121" s="36" t="n"/>
      <c r="E121" s="38">
        <f>IF(D121="","",IFERROR(INDEX(lst_tipo_nome,MATCH(D121,lst_tipo_id,0)),"Tipo não cadastrado em Listas"))</f>
        <v/>
      </c>
      <c r="F121" s="36" t="n"/>
      <c r="G121" s="36" t="n"/>
      <c r="H121" s="36" t="n"/>
      <c r="I121" s="39" t="n"/>
      <c r="J121" s="38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39" t="n"/>
      <c r="L121" s="39" t="n"/>
      <c r="M121" s="39" t="n"/>
      <c r="N121" s="39" t="n"/>
      <c r="O121" s="39" t="n"/>
      <c r="P121" s="38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38">
        <f>IF(P121=5,SUM(K121:O121),"")</f>
        <v/>
      </c>
      <c r="R121" s="38">
        <f>IF(P121="","",IF(P121&lt;5,"Pendente",IF(NOT(cad_limites_ok),"Pendente",IF(K121=3,"A",IF(Q121&gt;=cad_limite_a,"A",IF(Q121&gt;=cad_limite_b,"B","C"))))))</f>
        <v/>
      </c>
      <c r="S121" s="40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36" t="n"/>
      <c r="B122" s="36" t="n"/>
      <c r="C122" s="37" t="n"/>
      <c r="D122" s="36" t="n"/>
      <c r="E122" s="38">
        <f>IF(D122="","",IFERROR(INDEX(lst_tipo_nome,MATCH(D122,lst_tipo_id,0)),"Tipo não cadastrado em Listas"))</f>
        <v/>
      </c>
      <c r="F122" s="36" t="n"/>
      <c r="G122" s="36" t="n"/>
      <c r="H122" s="36" t="n"/>
      <c r="I122" s="39" t="n"/>
      <c r="J122" s="38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39" t="n"/>
      <c r="L122" s="39" t="n"/>
      <c r="M122" s="39" t="n"/>
      <c r="N122" s="39" t="n"/>
      <c r="O122" s="39" t="n"/>
      <c r="P122" s="38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38">
        <f>IF(P122=5,SUM(K122:O122),"")</f>
        <v/>
      </c>
      <c r="R122" s="38">
        <f>IF(P122="","",IF(P122&lt;5,"Pendente",IF(NOT(cad_limites_ok),"Pendente",IF(K122=3,"A",IF(Q122&gt;=cad_limite_a,"A",IF(Q122&gt;=cad_limite_b,"B","C"))))))</f>
        <v/>
      </c>
      <c r="S122" s="40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36" t="n"/>
      <c r="B123" s="36" t="n"/>
      <c r="C123" s="37" t="n"/>
      <c r="D123" s="36" t="n"/>
      <c r="E123" s="38">
        <f>IF(D123="","",IFERROR(INDEX(lst_tipo_nome,MATCH(D123,lst_tipo_id,0)),"Tipo não cadastrado em Listas"))</f>
        <v/>
      </c>
      <c r="F123" s="36" t="n"/>
      <c r="G123" s="36" t="n"/>
      <c r="H123" s="36" t="n"/>
      <c r="I123" s="39" t="n"/>
      <c r="J123" s="38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39" t="n"/>
      <c r="L123" s="39" t="n"/>
      <c r="M123" s="39" t="n"/>
      <c r="N123" s="39" t="n"/>
      <c r="O123" s="39" t="n"/>
      <c r="P123" s="38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38">
        <f>IF(P123=5,SUM(K123:O123),"")</f>
        <v/>
      </c>
      <c r="R123" s="38">
        <f>IF(P123="","",IF(P123&lt;5,"Pendente",IF(NOT(cad_limites_ok),"Pendente",IF(K123=3,"A",IF(Q123&gt;=cad_limite_a,"A",IF(Q123&gt;=cad_limite_b,"B","C"))))))</f>
        <v/>
      </c>
      <c r="S123" s="40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36" t="n"/>
      <c r="B124" s="36" t="n"/>
      <c r="C124" s="37" t="n"/>
      <c r="D124" s="36" t="n"/>
      <c r="E124" s="38">
        <f>IF(D124="","",IFERROR(INDEX(lst_tipo_nome,MATCH(D124,lst_tipo_id,0)),"Tipo não cadastrado em Listas"))</f>
        <v/>
      </c>
      <c r="F124" s="36" t="n"/>
      <c r="G124" s="36" t="n"/>
      <c r="H124" s="36" t="n"/>
      <c r="I124" s="39" t="n"/>
      <c r="J124" s="38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39" t="n"/>
      <c r="L124" s="39" t="n"/>
      <c r="M124" s="39" t="n"/>
      <c r="N124" s="39" t="n"/>
      <c r="O124" s="39" t="n"/>
      <c r="P124" s="38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38">
        <f>IF(P124=5,SUM(K124:O124),"")</f>
        <v/>
      </c>
      <c r="R124" s="38">
        <f>IF(P124="","",IF(P124&lt;5,"Pendente",IF(NOT(cad_limites_ok),"Pendente",IF(K124=3,"A",IF(Q124&gt;=cad_limite_a,"A",IF(Q124&gt;=cad_limite_b,"B","C"))))))</f>
        <v/>
      </c>
      <c r="S124" s="40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36" t="n"/>
      <c r="B125" s="36" t="n"/>
      <c r="C125" s="37" t="n"/>
      <c r="D125" s="36" t="n"/>
      <c r="E125" s="38">
        <f>IF(D125="","",IFERROR(INDEX(lst_tipo_nome,MATCH(D125,lst_tipo_id,0)),"Tipo não cadastrado em Listas"))</f>
        <v/>
      </c>
      <c r="F125" s="36" t="n"/>
      <c r="G125" s="36" t="n"/>
      <c r="H125" s="36" t="n"/>
      <c r="I125" s="39" t="n"/>
      <c r="J125" s="38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39" t="n"/>
      <c r="L125" s="39" t="n"/>
      <c r="M125" s="39" t="n"/>
      <c r="N125" s="39" t="n"/>
      <c r="O125" s="39" t="n"/>
      <c r="P125" s="38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38">
        <f>IF(P125=5,SUM(K125:O125),"")</f>
        <v/>
      </c>
      <c r="R125" s="38">
        <f>IF(P125="","",IF(P125&lt;5,"Pendente",IF(NOT(cad_limites_ok),"Pendente",IF(K125=3,"A",IF(Q125&gt;=cad_limite_a,"A",IF(Q125&gt;=cad_limite_b,"B","C"))))))</f>
        <v/>
      </c>
      <c r="S125" s="40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36" t="n"/>
      <c r="B126" s="36" t="n"/>
      <c r="C126" s="37" t="n"/>
      <c r="D126" s="36" t="n"/>
      <c r="E126" s="38">
        <f>IF(D126="","",IFERROR(INDEX(lst_tipo_nome,MATCH(D126,lst_tipo_id,0)),"Tipo não cadastrado em Listas"))</f>
        <v/>
      </c>
      <c r="F126" s="36" t="n"/>
      <c r="G126" s="36" t="n"/>
      <c r="H126" s="36" t="n"/>
      <c r="I126" s="39" t="n"/>
      <c r="J126" s="38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39" t="n"/>
      <c r="L126" s="39" t="n"/>
      <c r="M126" s="39" t="n"/>
      <c r="N126" s="39" t="n"/>
      <c r="O126" s="39" t="n"/>
      <c r="P126" s="38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38">
        <f>IF(P126=5,SUM(K126:O126),"")</f>
        <v/>
      </c>
      <c r="R126" s="38">
        <f>IF(P126="","",IF(P126&lt;5,"Pendente",IF(NOT(cad_limites_ok),"Pendente",IF(K126=3,"A",IF(Q126&gt;=cad_limite_a,"A",IF(Q126&gt;=cad_limite_b,"B","C"))))))</f>
        <v/>
      </c>
      <c r="S126" s="40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36" t="n"/>
      <c r="B127" s="36" t="n"/>
      <c r="C127" s="37" t="n"/>
      <c r="D127" s="36" t="n"/>
      <c r="E127" s="38">
        <f>IF(D127="","",IFERROR(INDEX(lst_tipo_nome,MATCH(D127,lst_tipo_id,0)),"Tipo não cadastrado em Listas"))</f>
        <v/>
      </c>
      <c r="F127" s="36" t="n"/>
      <c r="G127" s="36" t="n"/>
      <c r="H127" s="36" t="n"/>
      <c r="I127" s="39" t="n"/>
      <c r="J127" s="38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39" t="n"/>
      <c r="L127" s="39" t="n"/>
      <c r="M127" s="39" t="n"/>
      <c r="N127" s="39" t="n"/>
      <c r="O127" s="39" t="n"/>
      <c r="P127" s="38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38">
        <f>IF(P127=5,SUM(K127:O127),"")</f>
        <v/>
      </c>
      <c r="R127" s="38">
        <f>IF(P127="","",IF(P127&lt;5,"Pendente",IF(NOT(cad_limites_ok),"Pendente",IF(K127=3,"A",IF(Q127&gt;=cad_limite_a,"A",IF(Q127&gt;=cad_limite_b,"B","C"))))))</f>
        <v/>
      </c>
      <c r="S127" s="40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36" t="n"/>
      <c r="B128" s="36" t="n"/>
      <c r="C128" s="37" t="n"/>
      <c r="D128" s="36" t="n"/>
      <c r="E128" s="38">
        <f>IF(D128="","",IFERROR(INDEX(lst_tipo_nome,MATCH(D128,lst_tipo_id,0)),"Tipo não cadastrado em Listas"))</f>
        <v/>
      </c>
      <c r="F128" s="36" t="n"/>
      <c r="G128" s="36" t="n"/>
      <c r="H128" s="36" t="n"/>
      <c r="I128" s="39" t="n"/>
      <c r="J128" s="38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39" t="n"/>
      <c r="L128" s="39" t="n"/>
      <c r="M128" s="39" t="n"/>
      <c r="N128" s="39" t="n"/>
      <c r="O128" s="39" t="n"/>
      <c r="P128" s="38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38">
        <f>IF(P128=5,SUM(K128:O128),"")</f>
        <v/>
      </c>
      <c r="R128" s="38">
        <f>IF(P128="","",IF(P128&lt;5,"Pendente",IF(NOT(cad_limites_ok),"Pendente",IF(K128=3,"A",IF(Q128&gt;=cad_limite_a,"A",IF(Q128&gt;=cad_limite_b,"B","C"))))))</f>
        <v/>
      </c>
      <c r="S128" s="40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36" t="n"/>
      <c r="B129" s="36" t="n"/>
      <c r="C129" s="37" t="n"/>
      <c r="D129" s="36" t="n"/>
      <c r="E129" s="38">
        <f>IF(D129="","",IFERROR(INDEX(lst_tipo_nome,MATCH(D129,lst_tipo_id,0)),"Tipo não cadastrado em Listas"))</f>
        <v/>
      </c>
      <c r="F129" s="36" t="n"/>
      <c r="G129" s="36" t="n"/>
      <c r="H129" s="36" t="n"/>
      <c r="I129" s="39" t="n"/>
      <c r="J129" s="38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39" t="n"/>
      <c r="L129" s="39" t="n"/>
      <c r="M129" s="39" t="n"/>
      <c r="N129" s="39" t="n"/>
      <c r="O129" s="39" t="n"/>
      <c r="P129" s="38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38">
        <f>IF(P129=5,SUM(K129:O129),"")</f>
        <v/>
      </c>
      <c r="R129" s="38">
        <f>IF(P129="","",IF(P129&lt;5,"Pendente",IF(NOT(cad_limites_ok),"Pendente",IF(K129=3,"A",IF(Q129&gt;=cad_limite_a,"A",IF(Q129&gt;=cad_limite_b,"B","C"))))))</f>
        <v/>
      </c>
      <c r="S129" s="40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36" t="n"/>
      <c r="B130" s="36" t="n"/>
      <c r="C130" s="37" t="n"/>
      <c r="D130" s="36" t="n"/>
      <c r="E130" s="38">
        <f>IF(D130="","",IFERROR(INDEX(lst_tipo_nome,MATCH(D130,lst_tipo_id,0)),"Tipo não cadastrado em Listas"))</f>
        <v/>
      </c>
      <c r="F130" s="36" t="n"/>
      <c r="G130" s="36" t="n"/>
      <c r="H130" s="36" t="n"/>
      <c r="I130" s="39" t="n"/>
      <c r="J130" s="38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39" t="n"/>
      <c r="L130" s="39" t="n"/>
      <c r="M130" s="39" t="n"/>
      <c r="N130" s="39" t="n"/>
      <c r="O130" s="39" t="n"/>
      <c r="P130" s="38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38">
        <f>IF(P130=5,SUM(K130:O130),"")</f>
        <v/>
      </c>
      <c r="R130" s="38">
        <f>IF(P130="","",IF(P130&lt;5,"Pendente",IF(NOT(cad_limites_ok),"Pendente",IF(K130=3,"A",IF(Q130&gt;=cad_limite_a,"A",IF(Q130&gt;=cad_limite_b,"B","C"))))))</f>
        <v/>
      </c>
      <c r="S130" s="40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36" t="n"/>
      <c r="B131" s="36" t="n"/>
      <c r="C131" s="37" t="n"/>
      <c r="D131" s="36" t="n"/>
      <c r="E131" s="38">
        <f>IF(D131="","",IFERROR(INDEX(lst_tipo_nome,MATCH(D131,lst_tipo_id,0)),"Tipo não cadastrado em Listas"))</f>
        <v/>
      </c>
      <c r="F131" s="36" t="n"/>
      <c r="G131" s="36" t="n"/>
      <c r="H131" s="36" t="n"/>
      <c r="I131" s="39" t="n"/>
      <c r="J131" s="38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39" t="n"/>
      <c r="L131" s="39" t="n"/>
      <c r="M131" s="39" t="n"/>
      <c r="N131" s="39" t="n"/>
      <c r="O131" s="39" t="n"/>
      <c r="P131" s="38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38">
        <f>IF(P131=5,SUM(K131:O131),"")</f>
        <v/>
      </c>
      <c r="R131" s="38">
        <f>IF(P131="","",IF(P131&lt;5,"Pendente",IF(NOT(cad_limites_ok),"Pendente",IF(K131=3,"A",IF(Q131&gt;=cad_limite_a,"A",IF(Q131&gt;=cad_limite_b,"B","C"))))))</f>
        <v/>
      </c>
      <c r="S131" s="40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36" t="n"/>
      <c r="B132" s="36" t="n"/>
      <c r="C132" s="37" t="n"/>
      <c r="D132" s="36" t="n"/>
      <c r="E132" s="38">
        <f>IF(D132="","",IFERROR(INDEX(lst_tipo_nome,MATCH(D132,lst_tipo_id,0)),"Tipo não cadastrado em Listas"))</f>
        <v/>
      </c>
      <c r="F132" s="36" t="n"/>
      <c r="G132" s="36" t="n"/>
      <c r="H132" s="36" t="n"/>
      <c r="I132" s="39" t="n"/>
      <c r="J132" s="38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39" t="n"/>
      <c r="L132" s="39" t="n"/>
      <c r="M132" s="39" t="n"/>
      <c r="N132" s="39" t="n"/>
      <c r="O132" s="39" t="n"/>
      <c r="P132" s="38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38">
        <f>IF(P132=5,SUM(K132:O132),"")</f>
        <v/>
      </c>
      <c r="R132" s="38">
        <f>IF(P132="","",IF(P132&lt;5,"Pendente",IF(NOT(cad_limites_ok),"Pendente",IF(K132=3,"A",IF(Q132&gt;=cad_limite_a,"A",IF(Q132&gt;=cad_limite_b,"B","C"))))))</f>
        <v/>
      </c>
      <c r="S132" s="40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36" t="n"/>
      <c r="B133" s="36" t="n"/>
      <c r="C133" s="37" t="n"/>
      <c r="D133" s="36" t="n"/>
      <c r="E133" s="38">
        <f>IF(D133="","",IFERROR(INDEX(lst_tipo_nome,MATCH(D133,lst_tipo_id,0)),"Tipo não cadastrado em Listas"))</f>
        <v/>
      </c>
      <c r="F133" s="36" t="n"/>
      <c r="G133" s="36" t="n"/>
      <c r="H133" s="36" t="n"/>
      <c r="I133" s="39" t="n"/>
      <c r="J133" s="38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39" t="n"/>
      <c r="L133" s="39" t="n"/>
      <c r="M133" s="39" t="n"/>
      <c r="N133" s="39" t="n"/>
      <c r="O133" s="39" t="n"/>
      <c r="P133" s="38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38">
        <f>IF(P133=5,SUM(K133:O133),"")</f>
        <v/>
      </c>
      <c r="R133" s="38">
        <f>IF(P133="","",IF(P133&lt;5,"Pendente",IF(NOT(cad_limites_ok),"Pendente",IF(K133=3,"A",IF(Q133&gt;=cad_limite_a,"A",IF(Q133&gt;=cad_limite_b,"B","C"))))))</f>
        <v/>
      </c>
      <c r="S133" s="40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36" t="n"/>
      <c r="B134" s="36" t="n"/>
      <c r="C134" s="37" t="n"/>
      <c r="D134" s="36" t="n"/>
      <c r="E134" s="38">
        <f>IF(D134="","",IFERROR(INDEX(lst_tipo_nome,MATCH(D134,lst_tipo_id,0)),"Tipo não cadastrado em Listas"))</f>
        <v/>
      </c>
      <c r="F134" s="36" t="n"/>
      <c r="G134" s="36" t="n"/>
      <c r="H134" s="36" t="n"/>
      <c r="I134" s="39" t="n"/>
      <c r="J134" s="38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39" t="n"/>
      <c r="L134" s="39" t="n"/>
      <c r="M134" s="39" t="n"/>
      <c r="N134" s="39" t="n"/>
      <c r="O134" s="39" t="n"/>
      <c r="P134" s="38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38">
        <f>IF(P134=5,SUM(K134:O134),"")</f>
        <v/>
      </c>
      <c r="R134" s="38">
        <f>IF(P134="","",IF(P134&lt;5,"Pendente",IF(NOT(cad_limites_ok),"Pendente",IF(K134=3,"A",IF(Q134&gt;=cad_limite_a,"A",IF(Q134&gt;=cad_limite_b,"B","C"))))))</f>
        <v/>
      </c>
      <c r="S134" s="40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36" t="n"/>
      <c r="B135" s="36" t="n"/>
      <c r="C135" s="37" t="n"/>
      <c r="D135" s="36" t="n"/>
      <c r="E135" s="38">
        <f>IF(D135="","",IFERROR(INDEX(lst_tipo_nome,MATCH(D135,lst_tipo_id,0)),"Tipo não cadastrado em Listas"))</f>
        <v/>
      </c>
      <c r="F135" s="36" t="n"/>
      <c r="G135" s="36" t="n"/>
      <c r="H135" s="36" t="n"/>
      <c r="I135" s="39" t="n"/>
      <c r="J135" s="38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39" t="n"/>
      <c r="L135" s="39" t="n"/>
      <c r="M135" s="39" t="n"/>
      <c r="N135" s="39" t="n"/>
      <c r="O135" s="39" t="n"/>
      <c r="P135" s="38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38">
        <f>IF(P135=5,SUM(K135:O135),"")</f>
        <v/>
      </c>
      <c r="R135" s="38">
        <f>IF(P135="","",IF(P135&lt;5,"Pendente",IF(NOT(cad_limites_ok),"Pendente",IF(K135=3,"A",IF(Q135&gt;=cad_limite_a,"A",IF(Q135&gt;=cad_limite_b,"B","C"))))))</f>
        <v/>
      </c>
      <c r="S135" s="40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36" t="n"/>
      <c r="B136" s="36" t="n"/>
      <c r="C136" s="37" t="n"/>
      <c r="D136" s="36" t="n"/>
      <c r="E136" s="38">
        <f>IF(D136="","",IFERROR(INDEX(lst_tipo_nome,MATCH(D136,lst_tipo_id,0)),"Tipo não cadastrado em Listas"))</f>
        <v/>
      </c>
      <c r="F136" s="36" t="n"/>
      <c r="G136" s="36" t="n"/>
      <c r="H136" s="36" t="n"/>
      <c r="I136" s="39" t="n"/>
      <c r="J136" s="38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39" t="n"/>
      <c r="L136" s="39" t="n"/>
      <c r="M136" s="39" t="n"/>
      <c r="N136" s="39" t="n"/>
      <c r="O136" s="39" t="n"/>
      <c r="P136" s="38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38">
        <f>IF(P136=5,SUM(K136:O136),"")</f>
        <v/>
      </c>
      <c r="R136" s="38">
        <f>IF(P136="","",IF(P136&lt;5,"Pendente",IF(NOT(cad_limites_ok),"Pendente",IF(K136=3,"A",IF(Q136&gt;=cad_limite_a,"A",IF(Q136&gt;=cad_limite_b,"B","C"))))))</f>
        <v/>
      </c>
      <c r="S136" s="40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36" t="n"/>
      <c r="B137" s="36" t="n"/>
      <c r="C137" s="37" t="n"/>
      <c r="D137" s="36" t="n"/>
      <c r="E137" s="38">
        <f>IF(D137="","",IFERROR(INDEX(lst_tipo_nome,MATCH(D137,lst_tipo_id,0)),"Tipo não cadastrado em Listas"))</f>
        <v/>
      </c>
      <c r="F137" s="36" t="n"/>
      <c r="G137" s="36" t="n"/>
      <c r="H137" s="36" t="n"/>
      <c r="I137" s="39" t="n"/>
      <c r="J137" s="38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39" t="n"/>
      <c r="L137" s="39" t="n"/>
      <c r="M137" s="39" t="n"/>
      <c r="N137" s="39" t="n"/>
      <c r="O137" s="39" t="n"/>
      <c r="P137" s="38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38">
        <f>IF(P137=5,SUM(K137:O137),"")</f>
        <v/>
      </c>
      <c r="R137" s="38">
        <f>IF(P137="","",IF(P137&lt;5,"Pendente",IF(NOT(cad_limites_ok),"Pendente",IF(K137=3,"A",IF(Q137&gt;=cad_limite_a,"A",IF(Q137&gt;=cad_limite_b,"B","C"))))))</f>
        <v/>
      </c>
      <c r="S137" s="40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36" t="n"/>
      <c r="B138" s="36" t="n"/>
      <c r="C138" s="37" t="n"/>
      <c r="D138" s="36" t="n"/>
      <c r="E138" s="38">
        <f>IF(D138="","",IFERROR(INDEX(lst_tipo_nome,MATCH(D138,lst_tipo_id,0)),"Tipo não cadastrado em Listas"))</f>
        <v/>
      </c>
      <c r="F138" s="36" t="n"/>
      <c r="G138" s="36" t="n"/>
      <c r="H138" s="36" t="n"/>
      <c r="I138" s="39" t="n"/>
      <c r="J138" s="38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39" t="n"/>
      <c r="L138" s="39" t="n"/>
      <c r="M138" s="39" t="n"/>
      <c r="N138" s="39" t="n"/>
      <c r="O138" s="39" t="n"/>
      <c r="P138" s="38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38">
        <f>IF(P138=5,SUM(K138:O138),"")</f>
        <v/>
      </c>
      <c r="R138" s="38">
        <f>IF(P138="","",IF(P138&lt;5,"Pendente",IF(NOT(cad_limites_ok),"Pendente",IF(K138=3,"A",IF(Q138&gt;=cad_limite_a,"A",IF(Q138&gt;=cad_limite_b,"B","C"))))))</f>
        <v/>
      </c>
      <c r="S138" s="40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36" t="n"/>
      <c r="B139" s="36" t="n"/>
      <c r="C139" s="37" t="n"/>
      <c r="D139" s="36" t="n"/>
      <c r="E139" s="38">
        <f>IF(D139="","",IFERROR(INDEX(lst_tipo_nome,MATCH(D139,lst_tipo_id,0)),"Tipo não cadastrado em Listas"))</f>
        <v/>
      </c>
      <c r="F139" s="36" t="n"/>
      <c r="G139" s="36" t="n"/>
      <c r="H139" s="36" t="n"/>
      <c r="I139" s="39" t="n"/>
      <c r="J139" s="38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39" t="n"/>
      <c r="L139" s="39" t="n"/>
      <c r="M139" s="39" t="n"/>
      <c r="N139" s="39" t="n"/>
      <c r="O139" s="39" t="n"/>
      <c r="P139" s="38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38">
        <f>IF(P139=5,SUM(K139:O139),"")</f>
        <v/>
      </c>
      <c r="R139" s="38">
        <f>IF(P139="","",IF(P139&lt;5,"Pendente",IF(NOT(cad_limites_ok),"Pendente",IF(K139=3,"A",IF(Q139&gt;=cad_limite_a,"A",IF(Q139&gt;=cad_limite_b,"B","C"))))))</f>
        <v/>
      </c>
      <c r="S139" s="40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36" t="n"/>
      <c r="B140" s="36" t="n"/>
      <c r="C140" s="37" t="n"/>
      <c r="D140" s="36" t="n"/>
      <c r="E140" s="38">
        <f>IF(D140="","",IFERROR(INDEX(lst_tipo_nome,MATCH(D140,lst_tipo_id,0)),"Tipo não cadastrado em Listas"))</f>
        <v/>
      </c>
      <c r="F140" s="36" t="n"/>
      <c r="G140" s="36" t="n"/>
      <c r="H140" s="36" t="n"/>
      <c r="I140" s="39" t="n"/>
      <c r="J140" s="38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39" t="n"/>
      <c r="L140" s="39" t="n"/>
      <c r="M140" s="39" t="n"/>
      <c r="N140" s="39" t="n"/>
      <c r="O140" s="39" t="n"/>
      <c r="P140" s="38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38">
        <f>IF(P140=5,SUM(K140:O140),"")</f>
        <v/>
      </c>
      <c r="R140" s="38">
        <f>IF(P140="","",IF(P140&lt;5,"Pendente",IF(NOT(cad_limites_ok),"Pendente",IF(K140=3,"A",IF(Q140&gt;=cad_limite_a,"A",IF(Q140&gt;=cad_limite_b,"B","C"))))))</f>
        <v/>
      </c>
      <c r="S140" s="40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36" t="n"/>
      <c r="B141" s="36" t="n"/>
      <c r="C141" s="37" t="n"/>
      <c r="D141" s="36" t="n"/>
      <c r="E141" s="38">
        <f>IF(D141="","",IFERROR(INDEX(lst_tipo_nome,MATCH(D141,lst_tipo_id,0)),"Tipo não cadastrado em Listas"))</f>
        <v/>
      </c>
      <c r="F141" s="36" t="n"/>
      <c r="G141" s="36" t="n"/>
      <c r="H141" s="36" t="n"/>
      <c r="I141" s="39" t="n"/>
      <c r="J141" s="38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39" t="n"/>
      <c r="L141" s="39" t="n"/>
      <c r="M141" s="39" t="n"/>
      <c r="N141" s="39" t="n"/>
      <c r="O141" s="39" t="n"/>
      <c r="P141" s="38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38">
        <f>IF(P141=5,SUM(K141:O141),"")</f>
        <v/>
      </c>
      <c r="R141" s="38">
        <f>IF(P141="","",IF(P141&lt;5,"Pendente",IF(NOT(cad_limites_ok),"Pendente",IF(K141=3,"A",IF(Q141&gt;=cad_limite_a,"A",IF(Q141&gt;=cad_limite_b,"B","C"))))))</f>
        <v/>
      </c>
      <c r="S141" s="40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36" t="n"/>
      <c r="B142" s="36" t="n"/>
      <c r="C142" s="37" t="n"/>
      <c r="D142" s="36" t="n"/>
      <c r="E142" s="38">
        <f>IF(D142="","",IFERROR(INDEX(lst_tipo_nome,MATCH(D142,lst_tipo_id,0)),"Tipo não cadastrado em Listas"))</f>
        <v/>
      </c>
      <c r="F142" s="36" t="n"/>
      <c r="G142" s="36" t="n"/>
      <c r="H142" s="36" t="n"/>
      <c r="I142" s="39" t="n"/>
      <c r="J142" s="38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39" t="n"/>
      <c r="L142" s="39" t="n"/>
      <c r="M142" s="39" t="n"/>
      <c r="N142" s="39" t="n"/>
      <c r="O142" s="39" t="n"/>
      <c r="P142" s="38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38">
        <f>IF(P142=5,SUM(K142:O142),"")</f>
        <v/>
      </c>
      <c r="R142" s="38">
        <f>IF(P142="","",IF(P142&lt;5,"Pendente",IF(NOT(cad_limites_ok),"Pendente",IF(K142=3,"A",IF(Q142&gt;=cad_limite_a,"A",IF(Q142&gt;=cad_limite_b,"B","C"))))))</f>
        <v/>
      </c>
      <c r="S142" s="40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36" t="n"/>
      <c r="B143" s="36" t="n"/>
      <c r="C143" s="37" t="n"/>
      <c r="D143" s="36" t="n"/>
      <c r="E143" s="38">
        <f>IF(D143="","",IFERROR(INDEX(lst_tipo_nome,MATCH(D143,lst_tipo_id,0)),"Tipo não cadastrado em Listas"))</f>
        <v/>
      </c>
      <c r="F143" s="36" t="n"/>
      <c r="G143" s="36" t="n"/>
      <c r="H143" s="36" t="n"/>
      <c r="I143" s="39" t="n"/>
      <c r="J143" s="38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39" t="n"/>
      <c r="L143" s="39" t="n"/>
      <c r="M143" s="39" t="n"/>
      <c r="N143" s="39" t="n"/>
      <c r="O143" s="39" t="n"/>
      <c r="P143" s="38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38">
        <f>IF(P143=5,SUM(K143:O143),"")</f>
        <v/>
      </c>
      <c r="R143" s="38">
        <f>IF(P143="","",IF(P143&lt;5,"Pendente",IF(NOT(cad_limites_ok),"Pendente",IF(K143=3,"A",IF(Q143&gt;=cad_limite_a,"A",IF(Q143&gt;=cad_limite_b,"B","C"))))))</f>
        <v/>
      </c>
      <c r="S143" s="40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36" t="n"/>
      <c r="B144" s="36" t="n"/>
      <c r="C144" s="37" t="n"/>
      <c r="D144" s="36" t="n"/>
      <c r="E144" s="38">
        <f>IF(D144="","",IFERROR(INDEX(lst_tipo_nome,MATCH(D144,lst_tipo_id,0)),"Tipo não cadastrado em Listas"))</f>
        <v/>
      </c>
      <c r="F144" s="36" t="n"/>
      <c r="G144" s="36" t="n"/>
      <c r="H144" s="36" t="n"/>
      <c r="I144" s="39" t="n"/>
      <c r="J144" s="38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39" t="n"/>
      <c r="L144" s="39" t="n"/>
      <c r="M144" s="39" t="n"/>
      <c r="N144" s="39" t="n"/>
      <c r="O144" s="39" t="n"/>
      <c r="P144" s="38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38">
        <f>IF(P144=5,SUM(K144:O144),"")</f>
        <v/>
      </c>
      <c r="R144" s="38">
        <f>IF(P144="","",IF(P144&lt;5,"Pendente",IF(NOT(cad_limites_ok),"Pendente",IF(K144=3,"A",IF(Q144&gt;=cad_limite_a,"A",IF(Q144&gt;=cad_limite_b,"B","C"))))))</f>
        <v/>
      </c>
      <c r="S144" s="40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36" t="n"/>
      <c r="B145" s="36" t="n"/>
      <c r="C145" s="37" t="n"/>
      <c r="D145" s="36" t="n"/>
      <c r="E145" s="38">
        <f>IF(D145="","",IFERROR(INDEX(lst_tipo_nome,MATCH(D145,lst_tipo_id,0)),"Tipo não cadastrado em Listas"))</f>
        <v/>
      </c>
      <c r="F145" s="36" t="n"/>
      <c r="G145" s="36" t="n"/>
      <c r="H145" s="36" t="n"/>
      <c r="I145" s="39" t="n"/>
      <c r="J145" s="38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39" t="n"/>
      <c r="L145" s="39" t="n"/>
      <c r="M145" s="39" t="n"/>
      <c r="N145" s="39" t="n"/>
      <c r="O145" s="39" t="n"/>
      <c r="P145" s="38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38">
        <f>IF(P145=5,SUM(K145:O145),"")</f>
        <v/>
      </c>
      <c r="R145" s="38">
        <f>IF(P145="","",IF(P145&lt;5,"Pendente",IF(NOT(cad_limites_ok),"Pendente",IF(K145=3,"A",IF(Q145&gt;=cad_limite_a,"A",IF(Q145&gt;=cad_limite_b,"B","C"))))))</f>
        <v/>
      </c>
      <c r="S145" s="40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36" t="n"/>
      <c r="B146" s="36" t="n"/>
      <c r="C146" s="37" t="n"/>
      <c r="D146" s="36" t="n"/>
      <c r="E146" s="38">
        <f>IF(D146="","",IFERROR(INDEX(lst_tipo_nome,MATCH(D146,lst_tipo_id,0)),"Tipo não cadastrado em Listas"))</f>
        <v/>
      </c>
      <c r="F146" s="36" t="n"/>
      <c r="G146" s="36" t="n"/>
      <c r="H146" s="36" t="n"/>
      <c r="I146" s="39" t="n"/>
      <c r="J146" s="38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39" t="n"/>
      <c r="L146" s="39" t="n"/>
      <c r="M146" s="39" t="n"/>
      <c r="N146" s="39" t="n"/>
      <c r="O146" s="39" t="n"/>
      <c r="P146" s="38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38">
        <f>IF(P146=5,SUM(K146:O146),"")</f>
        <v/>
      </c>
      <c r="R146" s="38">
        <f>IF(P146="","",IF(P146&lt;5,"Pendente",IF(NOT(cad_limites_ok),"Pendente",IF(K146=3,"A",IF(Q146&gt;=cad_limite_a,"A",IF(Q146&gt;=cad_limite_b,"B","C"))))))</f>
        <v/>
      </c>
      <c r="S146" s="40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36" t="n"/>
      <c r="B147" s="36" t="n"/>
      <c r="C147" s="37" t="n"/>
      <c r="D147" s="36" t="n"/>
      <c r="E147" s="38">
        <f>IF(D147="","",IFERROR(INDEX(lst_tipo_nome,MATCH(D147,lst_tipo_id,0)),"Tipo não cadastrado em Listas"))</f>
        <v/>
      </c>
      <c r="F147" s="36" t="n"/>
      <c r="G147" s="36" t="n"/>
      <c r="H147" s="36" t="n"/>
      <c r="I147" s="39" t="n"/>
      <c r="J147" s="38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39" t="n"/>
      <c r="L147" s="39" t="n"/>
      <c r="M147" s="39" t="n"/>
      <c r="N147" s="39" t="n"/>
      <c r="O147" s="39" t="n"/>
      <c r="P147" s="38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38">
        <f>IF(P147=5,SUM(K147:O147),"")</f>
        <v/>
      </c>
      <c r="R147" s="38">
        <f>IF(P147="","",IF(P147&lt;5,"Pendente",IF(NOT(cad_limites_ok),"Pendente",IF(K147=3,"A",IF(Q147&gt;=cad_limite_a,"A",IF(Q147&gt;=cad_limite_b,"B","C"))))))</f>
        <v/>
      </c>
      <c r="S147" s="40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36" t="n"/>
      <c r="B148" s="36" t="n"/>
      <c r="C148" s="37" t="n"/>
      <c r="D148" s="36" t="n"/>
      <c r="E148" s="38">
        <f>IF(D148="","",IFERROR(INDEX(lst_tipo_nome,MATCH(D148,lst_tipo_id,0)),"Tipo não cadastrado em Listas"))</f>
        <v/>
      </c>
      <c r="F148" s="36" t="n"/>
      <c r="G148" s="36" t="n"/>
      <c r="H148" s="36" t="n"/>
      <c r="I148" s="39" t="n"/>
      <c r="J148" s="38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39" t="n"/>
      <c r="L148" s="39" t="n"/>
      <c r="M148" s="39" t="n"/>
      <c r="N148" s="39" t="n"/>
      <c r="O148" s="39" t="n"/>
      <c r="P148" s="38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38">
        <f>IF(P148=5,SUM(K148:O148),"")</f>
        <v/>
      </c>
      <c r="R148" s="38">
        <f>IF(P148="","",IF(P148&lt;5,"Pendente",IF(NOT(cad_limites_ok),"Pendente",IF(K148=3,"A",IF(Q148&gt;=cad_limite_a,"A",IF(Q148&gt;=cad_limite_b,"B","C"))))))</f>
        <v/>
      </c>
      <c r="S148" s="40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36" t="n"/>
      <c r="B149" s="36" t="n"/>
      <c r="C149" s="37" t="n"/>
      <c r="D149" s="36" t="n"/>
      <c r="E149" s="38">
        <f>IF(D149="","",IFERROR(INDEX(lst_tipo_nome,MATCH(D149,lst_tipo_id,0)),"Tipo não cadastrado em Listas"))</f>
        <v/>
      </c>
      <c r="F149" s="36" t="n"/>
      <c r="G149" s="36" t="n"/>
      <c r="H149" s="36" t="n"/>
      <c r="I149" s="39" t="n"/>
      <c r="J149" s="38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39" t="n"/>
      <c r="L149" s="39" t="n"/>
      <c r="M149" s="39" t="n"/>
      <c r="N149" s="39" t="n"/>
      <c r="O149" s="39" t="n"/>
      <c r="P149" s="38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38">
        <f>IF(P149=5,SUM(K149:O149),"")</f>
        <v/>
      </c>
      <c r="R149" s="38">
        <f>IF(P149="","",IF(P149&lt;5,"Pendente",IF(NOT(cad_limites_ok),"Pendente",IF(K149=3,"A",IF(Q149&gt;=cad_limite_a,"A",IF(Q149&gt;=cad_limite_b,"B","C"))))))</f>
        <v/>
      </c>
      <c r="S149" s="40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36" t="n"/>
      <c r="B150" s="36" t="n"/>
      <c r="C150" s="37" t="n"/>
      <c r="D150" s="36" t="n"/>
      <c r="E150" s="38">
        <f>IF(D150="","",IFERROR(INDEX(lst_tipo_nome,MATCH(D150,lst_tipo_id,0)),"Tipo não cadastrado em Listas"))</f>
        <v/>
      </c>
      <c r="F150" s="36" t="n"/>
      <c r="G150" s="36" t="n"/>
      <c r="H150" s="36" t="n"/>
      <c r="I150" s="39" t="n"/>
      <c r="J150" s="38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39" t="n"/>
      <c r="L150" s="39" t="n"/>
      <c r="M150" s="39" t="n"/>
      <c r="N150" s="39" t="n"/>
      <c r="O150" s="39" t="n"/>
      <c r="P150" s="38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38">
        <f>IF(P150=5,SUM(K150:O150),"")</f>
        <v/>
      </c>
      <c r="R150" s="38">
        <f>IF(P150="","",IF(P150&lt;5,"Pendente",IF(NOT(cad_limites_ok),"Pendente",IF(K150=3,"A",IF(Q150&gt;=cad_limite_a,"A",IF(Q150&gt;=cad_limite_b,"B","C"))))))</f>
        <v/>
      </c>
      <c r="S150" s="40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36" t="n"/>
      <c r="B151" s="36" t="n"/>
      <c r="C151" s="37" t="n"/>
      <c r="D151" s="36" t="n"/>
      <c r="E151" s="38">
        <f>IF(D151="","",IFERROR(INDEX(lst_tipo_nome,MATCH(D151,lst_tipo_id,0)),"Tipo não cadastrado em Listas"))</f>
        <v/>
      </c>
      <c r="F151" s="36" t="n"/>
      <c r="G151" s="36" t="n"/>
      <c r="H151" s="36" t="n"/>
      <c r="I151" s="39" t="n"/>
      <c r="J151" s="38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39" t="n"/>
      <c r="L151" s="39" t="n"/>
      <c r="M151" s="39" t="n"/>
      <c r="N151" s="39" t="n"/>
      <c r="O151" s="39" t="n"/>
      <c r="P151" s="38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38">
        <f>IF(P151=5,SUM(K151:O151),"")</f>
        <v/>
      </c>
      <c r="R151" s="38">
        <f>IF(P151="","",IF(P151&lt;5,"Pendente",IF(NOT(cad_limites_ok),"Pendente",IF(K151=3,"A",IF(Q151&gt;=cad_limite_a,"A",IF(Q151&gt;=cad_limite_b,"B","C"))))))</f>
        <v/>
      </c>
      <c r="S151" s="40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36" t="n"/>
      <c r="B152" s="36" t="n"/>
      <c r="C152" s="37" t="n"/>
      <c r="D152" s="36" t="n"/>
      <c r="E152" s="38">
        <f>IF(D152="","",IFERROR(INDEX(lst_tipo_nome,MATCH(D152,lst_tipo_id,0)),"Tipo não cadastrado em Listas"))</f>
        <v/>
      </c>
      <c r="F152" s="36" t="n"/>
      <c r="G152" s="36" t="n"/>
      <c r="H152" s="36" t="n"/>
      <c r="I152" s="39" t="n"/>
      <c r="J152" s="38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39" t="n"/>
      <c r="L152" s="39" t="n"/>
      <c r="M152" s="39" t="n"/>
      <c r="N152" s="39" t="n"/>
      <c r="O152" s="39" t="n"/>
      <c r="P152" s="38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38">
        <f>IF(P152=5,SUM(K152:O152),"")</f>
        <v/>
      </c>
      <c r="R152" s="38">
        <f>IF(P152="","",IF(P152&lt;5,"Pendente",IF(NOT(cad_limites_ok),"Pendente",IF(K152=3,"A",IF(Q152&gt;=cad_limite_a,"A",IF(Q152&gt;=cad_limite_b,"B","C"))))))</f>
        <v/>
      </c>
      <c r="S152" s="40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36" t="n"/>
      <c r="B153" s="36" t="n"/>
      <c r="C153" s="37" t="n"/>
      <c r="D153" s="36" t="n"/>
      <c r="E153" s="38">
        <f>IF(D153="","",IFERROR(INDEX(lst_tipo_nome,MATCH(D153,lst_tipo_id,0)),"Tipo não cadastrado em Listas"))</f>
        <v/>
      </c>
      <c r="F153" s="36" t="n"/>
      <c r="G153" s="36" t="n"/>
      <c r="H153" s="36" t="n"/>
      <c r="I153" s="39" t="n"/>
      <c r="J153" s="38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39" t="n"/>
      <c r="L153" s="39" t="n"/>
      <c r="M153" s="39" t="n"/>
      <c r="N153" s="39" t="n"/>
      <c r="O153" s="39" t="n"/>
      <c r="P153" s="38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38">
        <f>IF(P153=5,SUM(K153:O153),"")</f>
        <v/>
      </c>
      <c r="R153" s="38">
        <f>IF(P153="","",IF(P153&lt;5,"Pendente",IF(NOT(cad_limites_ok),"Pendente",IF(K153=3,"A",IF(Q153&gt;=cad_limite_a,"A",IF(Q153&gt;=cad_limite_b,"B","C"))))))</f>
        <v/>
      </c>
      <c r="S153" s="40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36" t="n"/>
      <c r="B154" s="36" t="n"/>
      <c r="C154" s="37" t="n"/>
      <c r="D154" s="36" t="n"/>
      <c r="E154" s="38">
        <f>IF(D154="","",IFERROR(INDEX(lst_tipo_nome,MATCH(D154,lst_tipo_id,0)),"Tipo não cadastrado em Listas"))</f>
        <v/>
      </c>
      <c r="F154" s="36" t="n"/>
      <c r="G154" s="36" t="n"/>
      <c r="H154" s="36" t="n"/>
      <c r="I154" s="39" t="n"/>
      <c r="J154" s="38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39" t="n"/>
      <c r="L154" s="39" t="n"/>
      <c r="M154" s="39" t="n"/>
      <c r="N154" s="39" t="n"/>
      <c r="O154" s="39" t="n"/>
      <c r="P154" s="38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38">
        <f>IF(P154=5,SUM(K154:O154),"")</f>
        <v/>
      </c>
      <c r="R154" s="38">
        <f>IF(P154="","",IF(P154&lt;5,"Pendente",IF(NOT(cad_limites_ok),"Pendente",IF(K154=3,"A",IF(Q154&gt;=cad_limite_a,"A",IF(Q154&gt;=cad_limite_b,"B","C"))))))</f>
        <v/>
      </c>
      <c r="S154" s="40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36" t="n"/>
      <c r="B155" s="36" t="n"/>
      <c r="C155" s="37" t="n"/>
      <c r="D155" s="36" t="n"/>
      <c r="E155" s="38">
        <f>IF(D155="","",IFERROR(INDEX(lst_tipo_nome,MATCH(D155,lst_tipo_id,0)),"Tipo não cadastrado em Listas"))</f>
        <v/>
      </c>
      <c r="F155" s="36" t="n"/>
      <c r="G155" s="36" t="n"/>
      <c r="H155" s="36" t="n"/>
      <c r="I155" s="39" t="n"/>
      <c r="J155" s="38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39" t="n"/>
      <c r="L155" s="39" t="n"/>
      <c r="M155" s="39" t="n"/>
      <c r="N155" s="39" t="n"/>
      <c r="O155" s="39" t="n"/>
      <c r="P155" s="38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38">
        <f>IF(P155=5,SUM(K155:O155),"")</f>
        <v/>
      </c>
      <c r="R155" s="38">
        <f>IF(P155="","",IF(P155&lt;5,"Pendente",IF(NOT(cad_limites_ok),"Pendente",IF(K155=3,"A",IF(Q155&gt;=cad_limite_a,"A",IF(Q155&gt;=cad_limite_b,"B","C"))))))</f>
        <v/>
      </c>
      <c r="S155" s="40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36" t="n"/>
      <c r="B156" s="36" t="n"/>
      <c r="C156" s="37" t="n"/>
      <c r="D156" s="36" t="n"/>
      <c r="E156" s="38">
        <f>IF(D156="","",IFERROR(INDEX(lst_tipo_nome,MATCH(D156,lst_tipo_id,0)),"Tipo não cadastrado em Listas"))</f>
        <v/>
      </c>
      <c r="F156" s="36" t="n"/>
      <c r="G156" s="36" t="n"/>
      <c r="H156" s="36" t="n"/>
      <c r="I156" s="39" t="n"/>
      <c r="J156" s="38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39" t="n"/>
      <c r="L156" s="39" t="n"/>
      <c r="M156" s="39" t="n"/>
      <c r="N156" s="39" t="n"/>
      <c r="O156" s="39" t="n"/>
      <c r="P156" s="38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38">
        <f>IF(P156=5,SUM(K156:O156),"")</f>
        <v/>
      </c>
      <c r="R156" s="38">
        <f>IF(P156="","",IF(P156&lt;5,"Pendente",IF(NOT(cad_limites_ok),"Pendente",IF(K156=3,"A",IF(Q156&gt;=cad_limite_a,"A",IF(Q156&gt;=cad_limite_b,"B","C"))))))</f>
        <v/>
      </c>
      <c r="S156" s="40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36" t="n"/>
      <c r="B157" s="36" t="n"/>
      <c r="C157" s="37" t="n"/>
      <c r="D157" s="36" t="n"/>
      <c r="E157" s="38">
        <f>IF(D157="","",IFERROR(INDEX(lst_tipo_nome,MATCH(D157,lst_tipo_id,0)),"Tipo não cadastrado em Listas"))</f>
        <v/>
      </c>
      <c r="F157" s="36" t="n"/>
      <c r="G157" s="36" t="n"/>
      <c r="H157" s="36" t="n"/>
      <c r="I157" s="39" t="n"/>
      <c r="J157" s="38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39" t="n"/>
      <c r="L157" s="39" t="n"/>
      <c r="M157" s="39" t="n"/>
      <c r="N157" s="39" t="n"/>
      <c r="O157" s="39" t="n"/>
      <c r="P157" s="38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38">
        <f>IF(P157=5,SUM(K157:O157),"")</f>
        <v/>
      </c>
      <c r="R157" s="38">
        <f>IF(P157="","",IF(P157&lt;5,"Pendente",IF(NOT(cad_limites_ok),"Pendente",IF(K157=3,"A",IF(Q157&gt;=cad_limite_a,"A",IF(Q157&gt;=cad_limite_b,"B","C"))))))</f>
        <v/>
      </c>
      <c r="S157" s="40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36" t="n"/>
      <c r="B158" s="36" t="n"/>
      <c r="C158" s="37" t="n"/>
      <c r="D158" s="36" t="n"/>
      <c r="E158" s="38">
        <f>IF(D158="","",IFERROR(INDEX(lst_tipo_nome,MATCH(D158,lst_tipo_id,0)),"Tipo não cadastrado em Listas"))</f>
        <v/>
      </c>
      <c r="F158" s="36" t="n"/>
      <c r="G158" s="36" t="n"/>
      <c r="H158" s="36" t="n"/>
      <c r="I158" s="39" t="n"/>
      <c r="J158" s="38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39" t="n"/>
      <c r="L158" s="39" t="n"/>
      <c r="M158" s="39" t="n"/>
      <c r="N158" s="39" t="n"/>
      <c r="O158" s="39" t="n"/>
      <c r="P158" s="38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38">
        <f>IF(P158=5,SUM(K158:O158),"")</f>
        <v/>
      </c>
      <c r="R158" s="38">
        <f>IF(P158="","",IF(P158&lt;5,"Pendente",IF(NOT(cad_limites_ok),"Pendente",IF(K158=3,"A",IF(Q158&gt;=cad_limite_a,"A",IF(Q158&gt;=cad_limite_b,"B","C"))))))</f>
        <v/>
      </c>
      <c r="S158" s="40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36" t="n"/>
      <c r="B159" s="36" t="n"/>
      <c r="C159" s="37" t="n"/>
      <c r="D159" s="36" t="n"/>
      <c r="E159" s="38">
        <f>IF(D159="","",IFERROR(INDEX(lst_tipo_nome,MATCH(D159,lst_tipo_id,0)),"Tipo não cadastrado em Listas"))</f>
        <v/>
      </c>
      <c r="F159" s="36" t="n"/>
      <c r="G159" s="36" t="n"/>
      <c r="H159" s="36" t="n"/>
      <c r="I159" s="39" t="n"/>
      <c r="J159" s="38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39" t="n"/>
      <c r="L159" s="39" t="n"/>
      <c r="M159" s="39" t="n"/>
      <c r="N159" s="39" t="n"/>
      <c r="O159" s="39" t="n"/>
      <c r="P159" s="38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38">
        <f>IF(P159=5,SUM(K159:O159),"")</f>
        <v/>
      </c>
      <c r="R159" s="38">
        <f>IF(P159="","",IF(P159&lt;5,"Pendente",IF(NOT(cad_limites_ok),"Pendente",IF(K159=3,"A",IF(Q159&gt;=cad_limite_a,"A",IF(Q159&gt;=cad_limite_b,"B","C"))))))</f>
        <v/>
      </c>
      <c r="S159" s="40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36" t="n"/>
      <c r="B160" s="36" t="n"/>
      <c r="C160" s="37" t="n"/>
      <c r="D160" s="36" t="n"/>
      <c r="E160" s="38">
        <f>IF(D160="","",IFERROR(INDEX(lst_tipo_nome,MATCH(D160,lst_tipo_id,0)),"Tipo não cadastrado em Listas"))</f>
        <v/>
      </c>
      <c r="F160" s="36" t="n"/>
      <c r="G160" s="36" t="n"/>
      <c r="H160" s="36" t="n"/>
      <c r="I160" s="39" t="n"/>
      <c r="J160" s="38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39" t="n"/>
      <c r="L160" s="39" t="n"/>
      <c r="M160" s="39" t="n"/>
      <c r="N160" s="39" t="n"/>
      <c r="O160" s="39" t="n"/>
      <c r="P160" s="38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38">
        <f>IF(P160=5,SUM(K160:O160),"")</f>
        <v/>
      </c>
      <c r="R160" s="38">
        <f>IF(P160="","",IF(P160&lt;5,"Pendente",IF(NOT(cad_limites_ok),"Pendente",IF(K160=3,"A",IF(Q160&gt;=cad_limite_a,"A",IF(Q160&gt;=cad_limite_b,"B","C"))))))</f>
        <v/>
      </c>
      <c r="S160" s="40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36" t="n"/>
      <c r="B161" s="36" t="n"/>
      <c r="C161" s="37" t="n"/>
      <c r="D161" s="36" t="n"/>
      <c r="E161" s="38">
        <f>IF(D161="","",IFERROR(INDEX(lst_tipo_nome,MATCH(D161,lst_tipo_id,0)),"Tipo não cadastrado em Listas"))</f>
        <v/>
      </c>
      <c r="F161" s="36" t="n"/>
      <c r="G161" s="36" t="n"/>
      <c r="H161" s="36" t="n"/>
      <c r="I161" s="39" t="n"/>
      <c r="J161" s="38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39" t="n"/>
      <c r="L161" s="39" t="n"/>
      <c r="M161" s="39" t="n"/>
      <c r="N161" s="39" t="n"/>
      <c r="O161" s="39" t="n"/>
      <c r="P161" s="38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38">
        <f>IF(P161=5,SUM(K161:O161),"")</f>
        <v/>
      </c>
      <c r="R161" s="38">
        <f>IF(P161="","",IF(P161&lt;5,"Pendente",IF(NOT(cad_limites_ok),"Pendente",IF(K161=3,"A",IF(Q161&gt;=cad_limite_a,"A",IF(Q161&gt;=cad_limite_b,"B","C"))))))</f>
        <v/>
      </c>
      <c r="S161" s="40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36" t="n"/>
      <c r="B162" s="36" t="n"/>
      <c r="C162" s="37" t="n"/>
      <c r="D162" s="36" t="n"/>
      <c r="E162" s="38">
        <f>IF(D162="","",IFERROR(INDEX(lst_tipo_nome,MATCH(D162,lst_tipo_id,0)),"Tipo não cadastrado em Listas"))</f>
        <v/>
      </c>
      <c r="F162" s="36" t="n"/>
      <c r="G162" s="36" t="n"/>
      <c r="H162" s="36" t="n"/>
      <c r="I162" s="39" t="n"/>
      <c r="J162" s="38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39" t="n"/>
      <c r="L162" s="39" t="n"/>
      <c r="M162" s="39" t="n"/>
      <c r="N162" s="39" t="n"/>
      <c r="O162" s="39" t="n"/>
      <c r="P162" s="38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38">
        <f>IF(P162=5,SUM(K162:O162),"")</f>
        <v/>
      </c>
      <c r="R162" s="38">
        <f>IF(P162="","",IF(P162&lt;5,"Pendente",IF(NOT(cad_limites_ok),"Pendente",IF(K162=3,"A",IF(Q162&gt;=cad_limite_a,"A",IF(Q162&gt;=cad_limite_b,"B","C"))))))</f>
        <v/>
      </c>
      <c r="S162" s="40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36" t="n"/>
      <c r="B163" s="36" t="n"/>
      <c r="C163" s="37" t="n"/>
      <c r="D163" s="36" t="n"/>
      <c r="E163" s="38">
        <f>IF(D163="","",IFERROR(INDEX(lst_tipo_nome,MATCH(D163,lst_tipo_id,0)),"Tipo não cadastrado em Listas"))</f>
        <v/>
      </c>
      <c r="F163" s="36" t="n"/>
      <c r="G163" s="36" t="n"/>
      <c r="H163" s="36" t="n"/>
      <c r="I163" s="39" t="n"/>
      <c r="J163" s="38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39" t="n"/>
      <c r="L163" s="39" t="n"/>
      <c r="M163" s="39" t="n"/>
      <c r="N163" s="39" t="n"/>
      <c r="O163" s="39" t="n"/>
      <c r="P163" s="38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38">
        <f>IF(P163=5,SUM(K163:O163),"")</f>
        <v/>
      </c>
      <c r="R163" s="38">
        <f>IF(P163="","",IF(P163&lt;5,"Pendente",IF(NOT(cad_limites_ok),"Pendente",IF(K163=3,"A",IF(Q163&gt;=cad_limite_a,"A",IF(Q163&gt;=cad_limite_b,"B","C"))))))</f>
        <v/>
      </c>
      <c r="S163" s="40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36" t="n"/>
      <c r="B164" s="36" t="n"/>
      <c r="C164" s="37" t="n"/>
      <c r="D164" s="36" t="n"/>
      <c r="E164" s="38">
        <f>IF(D164="","",IFERROR(INDEX(lst_tipo_nome,MATCH(D164,lst_tipo_id,0)),"Tipo não cadastrado em Listas"))</f>
        <v/>
      </c>
      <c r="F164" s="36" t="n"/>
      <c r="G164" s="36" t="n"/>
      <c r="H164" s="36" t="n"/>
      <c r="I164" s="39" t="n"/>
      <c r="J164" s="38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39" t="n"/>
      <c r="L164" s="39" t="n"/>
      <c r="M164" s="39" t="n"/>
      <c r="N164" s="39" t="n"/>
      <c r="O164" s="39" t="n"/>
      <c r="P164" s="38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38">
        <f>IF(P164=5,SUM(K164:O164),"")</f>
        <v/>
      </c>
      <c r="R164" s="38">
        <f>IF(P164="","",IF(P164&lt;5,"Pendente",IF(NOT(cad_limites_ok),"Pendente",IF(K164=3,"A",IF(Q164&gt;=cad_limite_a,"A",IF(Q164&gt;=cad_limite_b,"B","C"))))))</f>
        <v/>
      </c>
      <c r="S164" s="40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36" t="n"/>
      <c r="B165" s="36" t="n"/>
      <c r="C165" s="37" t="n"/>
      <c r="D165" s="36" t="n"/>
      <c r="E165" s="38">
        <f>IF(D165="","",IFERROR(INDEX(lst_tipo_nome,MATCH(D165,lst_tipo_id,0)),"Tipo não cadastrado em Listas"))</f>
        <v/>
      </c>
      <c r="F165" s="36" t="n"/>
      <c r="G165" s="36" t="n"/>
      <c r="H165" s="36" t="n"/>
      <c r="I165" s="39" t="n"/>
      <c r="J165" s="38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39" t="n"/>
      <c r="L165" s="39" t="n"/>
      <c r="M165" s="39" t="n"/>
      <c r="N165" s="39" t="n"/>
      <c r="O165" s="39" t="n"/>
      <c r="P165" s="38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38">
        <f>IF(P165=5,SUM(K165:O165),"")</f>
        <v/>
      </c>
      <c r="R165" s="38">
        <f>IF(P165="","",IF(P165&lt;5,"Pendente",IF(NOT(cad_limites_ok),"Pendente",IF(K165=3,"A",IF(Q165&gt;=cad_limite_a,"A",IF(Q165&gt;=cad_limite_b,"B","C"))))))</f>
        <v/>
      </c>
      <c r="S165" s="40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36" t="n"/>
      <c r="B166" s="36" t="n"/>
      <c r="C166" s="37" t="n"/>
      <c r="D166" s="36" t="n"/>
      <c r="E166" s="38">
        <f>IF(D166="","",IFERROR(INDEX(lst_tipo_nome,MATCH(D166,lst_tipo_id,0)),"Tipo não cadastrado em Listas"))</f>
        <v/>
      </c>
      <c r="F166" s="36" t="n"/>
      <c r="G166" s="36" t="n"/>
      <c r="H166" s="36" t="n"/>
      <c r="I166" s="39" t="n"/>
      <c r="J166" s="38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39" t="n"/>
      <c r="L166" s="39" t="n"/>
      <c r="M166" s="39" t="n"/>
      <c r="N166" s="39" t="n"/>
      <c r="O166" s="39" t="n"/>
      <c r="P166" s="38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38">
        <f>IF(P166=5,SUM(K166:O166),"")</f>
        <v/>
      </c>
      <c r="R166" s="38">
        <f>IF(P166="","",IF(P166&lt;5,"Pendente",IF(NOT(cad_limites_ok),"Pendente",IF(K166=3,"A",IF(Q166&gt;=cad_limite_a,"A",IF(Q166&gt;=cad_limite_b,"B","C"))))))</f>
        <v/>
      </c>
      <c r="S166" s="40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36" t="n"/>
      <c r="B167" s="36" t="n"/>
      <c r="C167" s="37" t="n"/>
      <c r="D167" s="36" t="n"/>
      <c r="E167" s="38">
        <f>IF(D167="","",IFERROR(INDEX(lst_tipo_nome,MATCH(D167,lst_tipo_id,0)),"Tipo não cadastrado em Listas"))</f>
        <v/>
      </c>
      <c r="F167" s="36" t="n"/>
      <c r="G167" s="36" t="n"/>
      <c r="H167" s="36" t="n"/>
      <c r="I167" s="39" t="n"/>
      <c r="J167" s="38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39" t="n"/>
      <c r="L167" s="39" t="n"/>
      <c r="M167" s="39" t="n"/>
      <c r="N167" s="39" t="n"/>
      <c r="O167" s="39" t="n"/>
      <c r="P167" s="38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38">
        <f>IF(P167=5,SUM(K167:O167),"")</f>
        <v/>
      </c>
      <c r="R167" s="38">
        <f>IF(P167="","",IF(P167&lt;5,"Pendente",IF(NOT(cad_limites_ok),"Pendente",IF(K167=3,"A",IF(Q167&gt;=cad_limite_a,"A",IF(Q167&gt;=cad_limite_b,"B","C"))))))</f>
        <v/>
      </c>
      <c r="S167" s="40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36" t="n"/>
      <c r="B168" s="36" t="n"/>
      <c r="C168" s="37" t="n"/>
      <c r="D168" s="36" t="n"/>
      <c r="E168" s="38">
        <f>IF(D168="","",IFERROR(INDEX(lst_tipo_nome,MATCH(D168,lst_tipo_id,0)),"Tipo não cadastrado em Listas"))</f>
        <v/>
      </c>
      <c r="F168" s="36" t="n"/>
      <c r="G168" s="36" t="n"/>
      <c r="H168" s="36" t="n"/>
      <c r="I168" s="39" t="n"/>
      <c r="J168" s="38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39" t="n"/>
      <c r="L168" s="39" t="n"/>
      <c r="M168" s="39" t="n"/>
      <c r="N168" s="39" t="n"/>
      <c r="O168" s="39" t="n"/>
      <c r="P168" s="38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38">
        <f>IF(P168=5,SUM(K168:O168),"")</f>
        <v/>
      </c>
      <c r="R168" s="38">
        <f>IF(P168="","",IF(P168&lt;5,"Pendente",IF(NOT(cad_limites_ok),"Pendente",IF(K168=3,"A",IF(Q168&gt;=cad_limite_a,"A",IF(Q168&gt;=cad_limite_b,"B","C"))))))</f>
        <v/>
      </c>
      <c r="S168" s="40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36" t="n"/>
      <c r="B169" s="36" t="n"/>
      <c r="C169" s="37" t="n"/>
      <c r="D169" s="36" t="n"/>
      <c r="E169" s="38">
        <f>IF(D169="","",IFERROR(INDEX(lst_tipo_nome,MATCH(D169,lst_tipo_id,0)),"Tipo não cadastrado em Listas"))</f>
        <v/>
      </c>
      <c r="F169" s="36" t="n"/>
      <c r="G169" s="36" t="n"/>
      <c r="H169" s="36" t="n"/>
      <c r="I169" s="39" t="n"/>
      <c r="J169" s="38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39" t="n"/>
      <c r="L169" s="39" t="n"/>
      <c r="M169" s="39" t="n"/>
      <c r="N169" s="39" t="n"/>
      <c r="O169" s="39" t="n"/>
      <c r="P169" s="38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38">
        <f>IF(P169=5,SUM(K169:O169),"")</f>
        <v/>
      </c>
      <c r="R169" s="38">
        <f>IF(P169="","",IF(P169&lt;5,"Pendente",IF(NOT(cad_limites_ok),"Pendente",IF(K169=3,"A",IF(Q169&gt;=cad_limite_a,"A",IF(Q169&gt;=cad_limite_b,"B","C"))))))</f>
        <v/>
      </c>
      <c r="S169" s="40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36" t="n"/>
      <c r="B170" s="36" t="n"/>
      <c r="C170" s="37" t="n"/>
      <c r="D170" s="36" t="n"/>
      <c r="E170" s="38">
        <f>IF(D170="","",IFERROR(INDEX(lst_tipo_nome,MATCH(D170,lst_tipo_id,0)),"Tipo não cadastrado em Listas"))</f>
        <v/>
      </c>
      <c r="F170" s="36" t="n"/>
      <c r="G170" s="36" t="n"/>
      <c r="H170" s="36" t="n"/>
      <c r="I170" s="39" t="n"/>
      <c r="J170" s="38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39" t="n"/>
      <c r="L170" s="39" t="n"/>
      <c r="M170" s="39" t="n"/>
      <c r="N170" s="39" t="n"/>
      <c r="O170" s="39" t="n"/>
      <c r="P170" s="38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38">
        <f>IF(P170=5,SUM(K170:O170),"")</f>
        <v/>
      </c>
      <c r="R170" s="38">
        <f>IF(P170="","",IF(P170&lt;5,"Pendente",IF(NOT(cad_limites_ok),"Pendente",IF(K170=3,"A",IF(Q170&gt;=cad_limite_a,"A",IF(Q170&gt;=cad_limite_b,"B","C"))))))</f>
        <v/>
      </c>
      <c r="S170" s="40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36" t="n"/>
      <c r="B171" s="36" t="n"/>
      <c r="C171" s="37" t="n"/>
      <c r="D171" s="36" t="n"/>
      <c r="E171" s="38">
        <f>IF(D171="","",IFERROR(INDEX(lst_tipo_nome,MATCH(D171,lst_tipo_id,0)),"Tipo não cadastrado em Listas"))</f>
        <v/>
      </c>
      <c r="F171" s="36" t="n"/>
      <c r="G171" s="36" t="n"/>
      <c r="H171" s="36" t="n"/>
      <c r="I171" s="39" t="n"/>
      <c r="J171" s="38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39" t="n"/>
      <c r="L171" s="39" t="n"/>
      <c r="M171" s="39" t="n"/>
      <c r="N171" s="39" t="n"/>
      <c r="O171" s="39" t="n"/>
      <c r="P171" s="38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38">
        <f>IF(P171=5,SUM(K171:O171),"")</f>
        <v/>
      </c>
      <c r="R171" s="38">
        <f>IF(P171="","",IF(P171&lt;5,"Pendente",IF(NOT(cad_limites_ok),"Pendente",IF(K171=3,"A",IF(Q171&gt;=cad_limite_a,"A",IF(Q171&gt;=cad_limite_b,"B","C"))))))</f>
        <v/>
      </c>
      <c r="S171" s="40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36" t="n"/>
      <c r="B172" s="36" t="n"/>
      <c r="C172" s="37" t="n"/>
      <c r="D172" s="36" t="n"/>
      <c r="E172" s="38">
        <f>IF(D172="","",IFERROR(INDEX(lst_tipo_nome,MATCH(D172,lst_tipo_id,0)),"Tipo não cadastrado em Listas"))</f>
        <v/>
      </c>
      <c r="F172" s="36" t="n"/>
      <c r="G172" s="36" t="n"/>
      <c r="H172" s="36" t="n"/>
      <c r="I172" s="39" t="n"/>
      <c r="J172" s="38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39" t="n"/>
      <c r="L172" s="39" t="n"/>
      <c r="M172" s="39" t="n"/>
      <c r="N172" s="39" t="n"/>
      <c r="O172" s="39" t="n"/>
      <c r="P172" s="38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38">
        <f>IF(P172=5,SUM(K172:O172),"")</f>
        <v/>
      </c>
      <c r="R172" s="38">
        <f>IF(P172="","",IF(P172&lt;5,"Pendente",IF(NOT(cad_limites_ok),"Pendente",IF(K172=3,"A",IF(Q172&gt;=cad_limite_a,"A",IF(Q172&gt;=cad_limite_b,"B","C"))))))</f>
        <v/>
      </c>
      <c r="S172" s="40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36" t="n"/>
      <c r="B173" s="36" t="n"/>
      <c r="C173" s="37" t="n"/>
      <c r="D173" s="36" t="n"/>
      <c r="E173" s="38">
        <f>IF(D173="","",IFERROR(INDEX(lst_tipo_nome,MATCH(D173,lst_tipo_id,0)),"Tipo não cadastrado em Listas"))</f>
        <v/>
      </c>
      <c r="F173" s="36" t="n"/>
      <c r="G173" s="36" t="n"/>
      <c r="H173" s="36" t="n"/>
      <c r="I173" s="39" t="n"/>
      <c r="J173" s="38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39" t="n"/>
      <c r="L173" s="39" t="n"/>
      <c r="M173" s="39" t="n"/>
      <c r="N173" s="39" t="n"/>
      <c r="O173" s="39" t="n"/>
      <c r="P173" s="38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38">
        <f>IF(P173=5,SUM(K173:O173),"")</f>
        <v/>
      </c>
      <c r="R173" s="38">
        <f>IF(P173="","",IF(P173&lt;5,"Pendente",IF(NOT(cad_limites_ok),"Pendente",IF(K173=3,"A",IF(Q173&gt;=cad_limite_a,"A",IF(Q173&gt;=cad_limite_b,"B","C"))))))</f>
        <v/>
      </c>
      <c r="S173" s="40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36" t="n"/>
      <c r="B174" s="36" t="n"/>
      <c r="C174" s="37" t="n"/>
      <c r="D174" s="36" t="n"/>
      <c r="E174" s="38">
        <f>IF(D174="","",IFERROR(INDEX(lst_tipo_nome,MATCH(D174,lst_tipo_id,0)),"Tipo não cadastrado em Listas"))</f>
        <v/>
      </c>
      <c r="F174" s="36" t="n"/>
      <c r="G174" s="36" t="n"/>
      <c r="H174" s="36" t="n"/>
      <c r="I174" s="39" t="n"/>
      <c r="J174" s="38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39" t="n"/>
      <c r="L174" s="39" t="n"/>
      <c r="M174" s="39" t="n"/>
      <c r="N174" s="39" t="n"/>
      <c r="O174" s="39" t="n"/>
      <c r="P174" s="38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38">
        <f>IF(P174=5,SUM(K174:O174),"")</f>
        <v/>
      </c>
      <c r="R174" s="38">
        <f>IF(P174="","",IF(P174&lt;5,"Pendente",IF(NOT(cad_limites_ok),"Pendente",IF(K174=3,"A",IF(Q174&gt;=cad_limite_a,"A",IF(Q174&gt;=cad_limite_b,"B","C"))))))</f>
        <v/>
      </c>
      <c r="S174" s="40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36" t="n"/>
      <c r="B175" s="36" t="n"/>
      <c r="C175" s="37" t="n"/>
      <c r="D175" s="36" t="n"/>
      <c r="E175" s="38">
        <f>IF(D175="","",IFERROR(INDEX(lst_tipo_nome,MATCH(D175,lst_tipo_id,0)),"Tipo não cadastrado em Listas"))</f>
        <v/>
      </c>
      <c r="F175" s="36" t="n"/>
      <c r="G175" s="36" t="n"/>
      <c r="H175" s="36" t="n"/>
      <c r="I175" s="39" t="n"/>
      <c r="J175" s="38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39" t="n"/>
      <c r="L175" s="39" t="n"/>
      <c r="M175" s="39" t="n"/>
      <c r="N175" s="39" t="n"/>
      <c r="O175" s="39" t="n"/>
      <c r="P175" s="38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38">
        <f>IF(P175=5,SUM(K175:O175),"")</f>
        <v/>
      </c>
      <c r="R175" s="38">
        <f>IF(P175="","",IF(P175&lt;5,"Pendente",IF(NOT(cad_limites_ok),"Pendente",IF(K175=3,"A",IF(Q175&gt;=cad_limite_a,"A",IF(Q175&gt;=cad_limite_b,"B","C"))))))</f>
        <v/>
      </c>
      <c r="S175" s="40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36" t="n"/>
      <c r="B176" s="36" t="n"/>
      <c r="C176" s="37" t="n"/>
      <c r="D176" s="36" t="n"/>
      <c r="E176" s="38">
        <f>IF(D176="","",IFERROR(INDEX(lst_tipo_nome,MATCH(D176,lst_tipo_id,0)),"Tipo não cadastrado em Listas"))</f>
        <v/>
      </c>
      <c r="F176" s="36" t="n"/>
      <c r="G176" s="36" t="n"/>
      <c r="H176" s="36" t="n"/>
      <c r="I176" s="39" t="n"/>
      <c r="J176" s="38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39" t="n"/>
      <c r="L176" s="39" t="n"/>
      <c r="M176" s="39" t="n"/>
      <c r="N176" s="39" t="n"/>
      <c r="O176" s="39" t="n"/>
      <c r="P176" s="38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38">
        <f>IF(P176=5,SUM(K176:O176),"")</f>
        <v/>
      </c>
      <c r="R176" s="38">
        <f>IF(P176="","",IF(P176&lt;5,"Pendente",IF(NOT(cad_limites_ok),"Pendente",IF(K176=3,"A",IF(Q176&gt;=cad_limite_a,"A",IF(Q176&gt;=cad_limite_b,"B","C"))))))</f>
        <v/>
      </c>
      <c r="S176" s="40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36" t="n"/>
      <c r="B177" s="36" t="n"/>
      <c r="C177" s="37" t="n"/>
      <c r="D177" s="36" t="n"/>
      <c r="E177" s="38">
        <f>IF(D177="","",IFERROR(INDEX(lst_tipo_nome,MATCH(D177,lst_tipo_id,0)),"Tipo não cadastrado em Listas"))</f>
        <v/>
      </c>
      <c r="F177" s="36" t="n"/>
      <c r="G177" s="36" t="n"/>
      <c r="H177" s="36" t="n"/>
      <c r="I177" s="39" t="n"/>
      <c r="J177" s="38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39" t="n"/>
      <c r="L177" s="39" t="n"/>
      <c r="M177" s="39" t="n"/>
      <c r="N177" s="39" t="n"/>
      <c r="O177" s="39" t="n"/>
      <c r="P177" s="38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38">
        <f>IF(P177=5,SUM(K177:O177),"")</f>
        <v/>
      </c>
      <c r="R177" s="38">
        <f>IF(P177="","",IF(P177&lt;5,"Pendente",IF(NOT(cad_limites_ok),"Pendente",IF(K177=3,"A",IF(Q177&gt;=cad_limite_a,"A",IF(Q177&gt;=cad_limite_b,"B","C"))))))</f>
        <v/>
      </c>
      <c r="S177" s="40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36" t="n"/>
      <c r="B178" s="36" t="n"/>
      <c r="C178" s="37" t="n"/>
      <c r="D178" s="36" t="n"/>
      <c r="E178" s="38">
        <f>IF(D178="","",IFERROR(INDEX(lst_tipo_nome,MATCH(D178,lst_tipo_id,0)),"Tipo não cadastrado em Listas"))</f>
        <v/>
      </c>
      <c r="F178" s="36" t="n"/>
      <c r="G178" s="36" t="n"/>
      <c r="H178" s="36" t="n"/>
      <c r="I178" s="39" t="n"/>
      <c r="J178" s="38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39" t="n"/>
      <c r="L178" s="39" t="n"/>
      <c r="M178" s="39" t="n"/>
      <c r="N178" s="39" t="n"/>
      <c r="O178" s="39" t="n"/>
      <c r="P178" s="38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38">
        <f>IF(P178=5,SUM(K178:O178),"")</f>
        <v/>
      </c>
      <c r="R178" s="38">
        <f>IF(P178="","",IF(P178&lt;5,"Pendente",IF(NOT(cad_limites_ok),"Pendente",IF(K178=3,"A",IF(Q178&gt;=cad_limite_a,"A",IF(Q178&gt;=cad_limite_b,"B","C"))))))</f>
        <v/>
      </c>
      <c r="S178" s="40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36" t="n"/>
      <c r="B179" s="36" t="n"/>
      <c r="C179" s="37" t="n"/>
      <c r="D179" s="36" t="n"/>
      <c r="E179" s="38">
        <f>IF(D179="","",IFERROR(INDEX(lst_tipo_nome,MATCH(D179,lst_tipo_id,0)),"Tipo não cadastrado em Listas"))</f>
        <v/>
      </c>
      <c r="F179" s="36" t="n"/>
      <c r="G179" s="36" t="n"/>
      <c r="H179" s="36" t="n"/>
      <c r="I179" s="39" t="n"/>
      <c r="J179" s="38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39" t="n"/>
      <c r="L179" s="39" t="n"/>
      <c r="M179" s="39" t="n"/>
      <c r="N179" s="39" t="n"/>
      <c r="O179" s="39" t="n"/>
      <c r="P179" s="38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38">
        <f>IF(P179=5,SUM(K179:O179),"")</f>
        <v/>
      </c>
      <c r="R179" s="38">
        <f>IF(P179="","",IF(P179&lt;5,"Pendente",IF(NOT(cad_limites_ok),"Pendente",IF(K179=3,"A",IF(Q179&gt;=cad_limite_a,"A",IF(Q179&gt;=cad_limite_b,"B","C"))))))</f>
        <v/>
      </c>
      <c r="S179" s="40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36" t="n"/>
      <c r="B180" s="36" t="n"/>
      <c r="C180" s="37" t="n"/>
      <c r="D180" s="36" t="n"/>
      <c r="E180" s="38">
        <f>IF(D180="","",IFERROR(INDEX(lst_tipo_nome,MATCH(D180,lst_tipo_id,0)),"Tipo não cadastrado em Listas"))</f>
        <v/>
      </c>
      <c r="F180" s="36" t="n"/>
      <c r="G180" s="36" t="n"/>
      <c r="H180" s="36" t="n"/>
      <c r="I180" s="39" t="n"/>
      <c r="J180" s="38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39" t="n"/>
      <c r="L180" s="39" t="n"/>
      <c r="M180" s="39" t="n"/>
      <c r="N180" s="39" t="n"/>
      <c r="O180" s="39" t="n"/>
      <c r="P180" s="38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38">
        <f>IF(P180=5,SUM(K180:O180),"")</f>
        <v/>
      </c>
      <c r="R180" s="38">
        <f>IF(P180="","",IF(P180&lt;5,"Pendente",IF(NOT(cad_limites_ok),"Pendente",IF(K180=3,"A",IF(Q180&gt;=cad_limite_a,"A",IF(Q180&gt;=cad_limite_b,"B","C"))))))</f>
        <v/>
      </c>
      <c r="S180" s="40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36" t="n"/>
      <c r="B181" s="36" t="n"/>
      <c r="C181" s="37" t="n"/>
      <c r="D181" s="36" t="n"/>
      <c r="E181" s="38">
        <f>IF(D181="","",IFERROR(INDEX(lst_tipo_nome,MATCH(D181,lst_tipo_id,0)),"Tipo não cadastrado em Listas"))</f>
        <v/>
      </c>
      <c r="F181" s="36" t="n"/>
      <c r="G181" s="36" t="n"/>
      <c r="H181" s="36" t="n"/>
      <c r="I181" s="39" t="n"/>
      <c r="J181" s="38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39" t="n"/>
      <c r="L181" s="39" t="n"/>
      <c r="M181" s="39" t="n"/>
      <c r="N181" s="39" t="n"/>
      <c r="O181" s="39" t="n"/>
      <c r="P181" s="38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38">
        <f>IF(P181=5,SUM(K181:O181),"")</f>
        <v/>
      </c>
      <c r="R181" s="38">
        <f>IF(P181="","",IF(P181&lt;5,"Pendente",IF(NOT(cad_limites_ok),"Pendente",IF(K181=3,"A",IF(Q181&gt;=cad_limite_a,"A",IF(Q181&gt;=cad_limite_b,"B","C"))))))</f>
        <v/>
      </c>
      <c r="S181" s="40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36" t="n"/>
      <c r="B182" s="36" t="n"/>
      <c r="C182" s="37" t="n"/>
      <c r="D182" s="36" t="n"/>
      <c r="E182" s="38">
        <f>IF(D182="","",IFERROR(INDEX(lst_tipo_nome,MATCH(D182,lst_tipo_id,0)),"Tipo não cadastrado em Listas"))</f>
        <v/>
      </c>
      <c r="F182" s="36" t="n"/>
      <c r="G182" s="36" t="n"/>
      <c r="H182" s="36" t="n"/>
      <c r="I182" s="39" t="n"/>
      <c r="J182" s="38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39" t="n"/>
      <c r="L182" s="39" t="n"/>
      <c r="M182" s="39" t="n"/>
      <c r="N182" s="39" t="n"/>
      <c r="O182" s="39" t="n"/>
      <c r="P182" s="38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38">
        <f>IF(P182=5,SUM(K182:O182),"")</f>
        <v/>
      </c>
      <c r="R182" s="38">
        <f>IF(P182="","",IF(P182&lt;5,"Pendente",IF(NOT(cad_limites_ok),"Pendente",IF(K182=3,"A",IF(Q182&gt;=cad_limite_a,"A",IF(Q182&gt;=cad_limite_b,"B","C"))))))</f>
        <v/>
      </c>
      <c r="S182" s="40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36" t="n"/>
      <c r="B183" s="36" t="n"/>
      <c r="C183" s="37" t="n"/>
      <c r="D183" s="36" t="n"/>
      <c r="E183" s="38">
        <f>IF(D183="","",IFERROR(INDEX(lst_tipo_nome,MATCH(D183,lst_tipo_id,0)),"Tipo não cadastrado em Listas"))</f>
        <v/>
      </c>
      <c r="F183" s="36" t="n"/>
      <c r="G183" s="36" t="n"/>
      <c r="H183" s="36" t="n"/>
      <c r="I183" s="39" t="n"/>
      <c r="J183" s="38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39" t="n"/>
      <c r="L183" s="39" t="n"/>
      <c r="M183" s="39" t="n"/>
      <c r="N183" s="39" t="n"/>
      <c r="O183" s="39" t="n"/>
      <c r="P183" s="38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38">
        <f>IF(P183=5,SUM(K183:O183),"")</f>
        <v/>
      </c>
      <c r="R183" s="38">
        <f>IF(P183="","",IF(P183&lt;5,"Pendente",IF(NOT(cad_limites_ok),"Pendente",IF(K183=3,"A",IF(Q183&gt;=cad_limite_a,"A",IF(Q183&gt;=cad_limite_b,"B","C"))))))</f>
        <v/>
      </c>
      <c r="S183" s="40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36" t="n"/>
      <c r="B184" s="36" t="n"/>
      <c r="C184" s="37" t="n"/>
      <c r="D184" s="36" t="n"/>
      <c r="E184" s="38">
        <f>IF(D184="","",IFERROR(INDEX(lst_tipo_nome,MATCH(D184,lst_tipo_id,0)),"Tipo não cadastrado em Listas"))</f>
        <v/>
      </c>
      <c r="F184" s="36" t="n"/>
      <c r="G184" s="36" t="n"/>
      <c r="H184" s="36" t="n"/>
      <c r="I184" s="39" t="n"/>
      <c r="J184" s="38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39" t="n"/>
      <c r="L184" s="39" t="n"/>
      <c r="M184" s="39" t="n"/>
      <c r="N184" s="39" t="n"/>
      <c r="O184" s="39" t="n"/>
      <c r="P184" s="38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38">
        <f>IF(P184=5,SUM(K184:O184),"")</f>
        <v/>
      </c>
      <c r="R184" s="38">
        <f>IF(P184="","",IF(P184&lt;5,"Pendente",IF(NOT(cad_limites_ok),"Pendente",IF(K184=3,"A",IF(Q184&gt;=cad_limite_a,"A",IF(Q184&gt;=cad_limite_b,"B","C"))))))</f>
        <v/>
      </c>
      <c r="S184" s="40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36" t="n"/>
      <c r="B185" s="36" t="n"/>
      <c r="C185" s="37" t="n"/>
      <c r="D185" s="36" t="n"/>
      <c r="E185" s="38">
        <f>IF(D185="","",IFERROR(INDEX(lst_tipo_nome,MATCH(D185,lst_tipo_id,0)),"Tipo não cadastrado em Listas"))</f>
        <v/>
      </c>
      <c r="F185" s="36" t="n"/>
      <c r="G185" s="36" t="n"/>
      <c r="H185" s="36" t="n"/>
      <c r="I185" s="39" t="n"/>
      <c r="J185" s="38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39" t="n"/>
      <c r="L185" s="39" t="n"/>
      <c r="M185" s="39" t="n"/>
      <c r="N185" s="39" t="n"/>
      <c r="O185" s="39" t="n"/>
      <c r="P185" s="38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38">
        <f>IF(P185=5,SUM(K185:O185),"")</f>
        <v/>
      </c>
      <c r="R185" s="38">
        <f>IF(P185="","",IF(P185&lt;5,"Pendente",IF(NOT(cad_limites_ok),"Pendente",IF(K185=3,"A",IF(Q185&gt;=cad_limite_a,"A",IF(Q185&gt;=cad_limite_b,"B","C"))))))</f>
        <v/>
      </c>
      <c r="S185" s="40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36" t="n"/>
      <c r="B186" s="36" t="n"/>
      <c r="C186" s="37" t="n"/>
      <c r="D186" s="36" t="n"/>
      <c r="E186" s="38">
        <f>IF(D186="","",IFERROR(INDEX(lst_tipo_nome,MATCH(D186,lst_tipo_id,0)),"Tipo não cadastrado em Listas"))</f>
        <v/>
      </c>
      <c r="F186" s="36" t="n"/>
      <c r="G186" s="36" t="n"/>
      <c r="H186" s="36" t="n"/>
      <c r="I186" s="39" t="n"/>
      <c r="J186" s="38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39" t="n"/>
      <c r="L186" s="39" t="n"/>
      <c r="M186" s="39" t="n"/>
      <c r="N186" s="39" t="n"/>
      <c r="O186" s="39" t="n"/>
      <c r="P186" s="38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38">
        <f>IF(P186=5,SUM(K186:O186),"")</f>
        <v/>
      </c>
      <c r="R186" s="38">
        <f>IF(P186="","",IF(P186&lt;5,"Pendente",IF(NOT(cad_limites_ok),"Pendente",IF(K186=3,"A",IF(Q186&gt;=cad_limite_a,"A",IF(Q186&gt;=cad_limite_b,"B","C"))))))</f>
        <v/>
      </c>
      <c r="S186" s="40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36" t="n"/>
      <c r="B187" s="36" t="n"/>
      <c r="C187" s="37" t="n"/>
      <c r="D187" s="36" t="n"/>
      <c r="E187" s="38">
        <f>IF(D187="","",IFERROR(INDEX(lst_tipo_nome,MATCH(D187,lst_tipo_id,0)),"Tipo não cadastrado em Listas"))</f>
        <v/>
      </c>
      <c r="F187" s="36" t="n"/>
      <c r="G187" s="36" t="n"/>
      <c r="H187" s="36" t="n"/>
      <c r="I187" s="39" t="n"/>
      <c r="J187" s="38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39" t="n"/>
      <c r="L187" s="39" t="n"/>
      <c r="M187" s="39" t="n"/>
      <c r="N187" s="39" t="n"/>
      <c r="O187" s="39" t="n"/>
      <c r="P187" s="38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38">
        <f>IF(P187=5,SUM(K187:O187),"")</f>
        <v/>
      </c>
      <c r="R187" s="38">
        <f>IF(P187="","",IF(P187&lt;5,"Pendente",IF(NOT(cad_limites_ok),"Pendente",IF(K187=3,"A",IF(Q187&gt;=cad_limite_a,"A",IF(Q187&gt;=cad_limite_b,"B","C"))))))</f>
        <v/>
      </c>
      <c r="S187" s="40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36" t="n"/>
      <c r="B188" s="36" t="n"/>
      <c r="C188" s="37" t="n"/>
      <c r="D188" s="36" t="n"/>
      <c r="E188" s="38">
        <f>IF(D188="","",IFERROR(INDEX(lst_tipo_nome,MATCH(D188,lst_tipo_id,0)),"Tipo não cadastrado em Listas"))</f>
        <v/>
      </c>
      <c r="F188" s="36" t="n"/>
      <c r="G188" s="36" t="n"/>
      <c r="H188" s="36" t="n"/>
      <c r="I188" s="39" t="n"/>
      <c r="J188" s="38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39" t="n"/>
      <c r="L188" s="39" t="n"/>
      <c r="M188" s="39" t="n"/>
      <c r="N188" s="39" t="n"/>
      <c r="O188" s="39" t="n"/>
      <c r="P188" s="38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38">
        <f>IF(P188=5,SUM(K188:O188),"")</f>
        <v/>
      </c>
      <c r="R188" s="38">
        <f>IF(P188="","",IF(P188&lt;5,"Pendente",IF(NOT(cad_limites_ok),"Pendente",IF(K188=3,"A",IF(Q188&gt;=cad_limite_a,"A",IF(Q188&gt;=cad_limite_b,"B","C"))))))</f>
        <v/>
      </c>
      <c r="S188" s="40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36" t="n"/>
      <c r="B189" s="36" t="n"/>
      <c r="C189" s="37" t="n"/>
      <c r="D189" s="36" t="n"/>
      <c r="E189" s="38">
        <f>IF(D189="","",IFERROR(INDEX(lst_tipo_nome,MATCH(D189,lst_tipo_id,0)),"Tipo não cadastrado em Listas"))</f>
        <v/>
      </c>
      <c r="F189" s="36" t="n"/>
      <c r="G189" s="36" t="n"/>
      <c r="H189" s="36" t="n"/>
      <c r="I189" s="39" t="n"/>
      <c r="J189" s="38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39" t="n"/>
      <c r="L189" s="39" t="n"/>
      <c r="M189" s="39" t="n"/>
      <c r="N189" s="39" t="n"/>
      <c r="O189" s="39" t="n"/>
      <c r="P189" s="38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38">
        <f>IF(P189=5,SUM(K189:O189),"")</f>
        <v/>
      </c>
      <c r="R189" s="38">
        <f>IF(P189="","",IF(P189&lt;5,"Pendente",IF(NOT(cad_limites_ok),"Pendente",IF(K189=3,"A",IF(Q189&gt;=cad_limite_a,"A",IF(Q189&gt;=cad_limite_b,"B","C"))))))</f>
        <v/>
      </c>
      <c r="S189" s="40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36" t="n"/>
      <c r="B190" s="36" t="n"/>
      <c r="C190" s="37" t="n"/>
      <c r="D190" s="36" t="n"/>
      <c r="E190" s="38">
        <f>IF(D190="","",IFERROR(INDEX(lst_tipo_nome,MATCH(D190,lst_tipo_id,0)),"Tipo não cadastrado em Listas"))</f>
        <v/>
      </c>
      <c r="F190" s="36" t="n"/>
      <c r="G190" s="36" t="n"/>
      <c r="H190" s="36" t="n"/>
      <c r="I190" s="39" t="n"/>
      <c r="J190" s="38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39" t="n"/>
      <c r="L190" s="39" t="n"/>
      <c r="M190" s="39" t="n"/>
      <c r="N190" s="39" t="n"/>
      <c r="O190" s="39" t="n"/>
      <c r="P190" s="38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38">
        <f>IF(P190=5,SUM(K190:O190),"")</f>
        <v/>
      </c>
      <c r="R190" s="38">
        <f>IF(P190="","",IF(P190&lt;5,"Pendente",IF(NOT(cad_limites_ok),"Pendente",IF(K190=3,"A",IF(Q190&gt;=cad_limite_a,"A",IF(Q190&gt;=cad_limite_b,"B","C"))))))</f>
        <v/>
      </c>
      <c r="S190" s="40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36" t="n"/>
      <c r="B191" s="36" t="n"/>
      <c r="C191" s="37" t="n"/>
      <c r="D191" s="36" t="n"/>
      <c r="E191" s="38">
        <f>IF(D191="","",IFERROR(INDEX(lst_tipo_nome,MATCH(D191,lst_tipo_id,0)),"Tipo não cadastrado em Listas"))</f>
        <v/>
      </c>
      <c r="F191" s="36" t="n"/>
      <c r="G191" s="36" t="n"/>
      <c r="H191" s="36" t="n"/>
      <c r="I191" s="39" t="n"/>
      <c r="J191" s="38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39" t="n"/>
      <c r="L191" s="39" t="n"/>
      <c r="M191" s="39" t="n"/>
      <c r="N191" s="39" t="n"/>
      <c r="O191" s="39" t="n"/>
      <c r="P191" s="38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38">
        <f>IF(P191=5,SUM(K191:O191),"")</f>
        <v/>
      </c>
      <c r="R191" s="38">
        <f>IF(P191="","",IF(P191&lt;5,"Pendente",IF(NOT(cad_limites_ok),"Pendente",IF(K191=3,"A",IF(Q191&gt;=cad_limite_a,"A",IF(Q191&gt;=cad_limite_b,"B","C"))))))</f>
        <v/>
      </c>
      <c r="S191" s="40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36" t="n"/>
      <c r="B192" s="36" t="n"/>
      <c r="C192" s="37" t="n"/>
      <c r="D192" s="36" t="n"/>
      <c r="E192" s="38">
        <f>IF(D192="","",IFERROR(INDEX(lst_tipo_nome,MATCH(D192,lst_tipo_id,0)),"Tipo não cadastrado em Listas"))</f>
        <v/>
      </c>
      <c r="F192" s="36" t="n"/>
      <c r="G192" s="36" t="n"/>
      <c r="H192" s="36" t="n"/>
      <c r="I192" s="39" t="n"/>
      <c r="J192" s="38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39" t="n"/>
      <c r="L192" s="39" t="n"/>
      <c r="M192" s="39" t="n"/>
      <c r="N192" s="39" t="n"/>
      <c r="O192" s="39" t="n"/>
      <c r="P192" s="38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38">
        <f>IF(P192=5,SUM(K192:O192),"")</f>
        <v/>
      </c>
      <c r="R192" s="38">
        <f>IF(P192="","",IF(P192&lt;5,"Pendente",IF(NOT(cad_limites_ok),"Pendente",IF(K192=3,"A",IF(Q192&gt;=cad_limite_a,"A",IF(Q192&gt;=cad_limite_b,"B","C"))))))</f>
        <v/>
      </c>
      <c r="S192" s="40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36" t="n"/>
      <c r="B193" s="36" t="n"/>
      <c r="C193" s="37" t="n"/>
      <c r="D193" s="36" t="n"/>
      <c r="E193" s="38">
        <f>IF(D193="","",IFERROR(INDEX(lst_tipo_nome,MATCH(D193,lst_tipo_id,0)),"Tipo não cadastrado em Listas"))</f>
        <v/>
      </c>
      <c r="F193" s="36" t="n"/>
      <c r="G193" s="36" t="n"/>
      <c r="H193" s="36" t="n"/>
      <c r="I193" s="39" t="n"/>
      <c r="J193" s="38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39" t="n"/>
      <c r="L193" s="39" t="n"/>
      <c r="M193" s="39" t="n"/>
      <c r="N193" s="39" t="n"/>
      <c r="O193" s="39" t="n"/>
      <c r="P193" s="38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38">
        <f>IF(P193=5,SUM(K193:O193),"")</f>
        <v/>
      </c>
      <c r="R193" s="38">
        <f>IF(P193="","",IF(P193&lt;5,"Pendente",IF(NOT(cad_limites_ok),"Pendente",IF(K193=3,"A",IF(Q193&gt;=cad_limite_a,"A",IF(Q193&gt;=cad_limite_b,"B","C"))))))</f>
        <v/>
      </c>
      <c r="S193" s="40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36" t="n"/>
      <c r="B194" s="36" t="n"/>
      <c r="C194" s="37" t="n"/>
      <c r="D194" s="36" t="n"/>
      <c r="E194" s="38">
        <f>IF(D194="","",IFERROR(INDEX(lst_tipo_nome,MATCH(D194,lst_tipo_id,0)),"Tipo não cadastrado em Listas"))</f>
        <v/>
      </c>
      <c r="F194" s="36" t="n"/>
      <c r="G194" s="36" t="n"/>
      <c r="H194" s="36" t="n"/>
      <c r="I194" s="39" t="n"/>
      <c r="J194" s="38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39" t="n"/>
      <c r="L194" s="39" t="n"/>
      <c r="M194" s="39" t="n"/>
      <c r="N194" s="39" t="n"/>
      <c r="O194" s="39" t="n"/>
      <c r="P194" s="38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38">
        <f>IF(P194=5,SUM(K194:O194),"")</f>
        <v/>
      </c>
      <c r="R194" s="38">
        <f>IF(P194="","",IF(P194&lt;5,"Pendente",IF(NOT(cad_limites_ok),"Pendente",IF(K194=3,"A",IF(Q194&gt;=cad_limite_a,"A",IF(Q194&gt;=cad_limite_b,"B","C"))))))</f>
        <v/>
      </c>
      <c r="S194" s="40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36" t="n"/>
      <c r="B195" s="36" t="n"/>
      <c r="C195" s="37" t="n"/>
      <c r="D195" s="36" t="n"/>
      <c r="E195" s="38">
        <f>IF(D195="","",IFERROR(INDEX(lst_tipo_nome,MATCH(D195,lst_tipo_id,0)),"Tipo não cadastrado em Listas"))</f>
        <v/>
      </c>
      <c r="F195" s="36" t="n"/>
      <c r="G195" s="36" t="n"/>
      <c r="H195" s="36" t="n"/>
      <c r="I195" s="39" t="n"/>
      <c r="J195" s="38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39" t="n"/>
      <c r="L195" s="39" t="n"/>
      <c r="M195" s="39" t="n"/>
      <c r="N195" s="39" t="n"/>
      <c r="O195" s="39" t="n"/>
      <c r="P195" s="38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38">
        <f>IF(P195=5,SUM(K195:O195),"")</f>
        <v/>
      </c>
      <c r="R195" s="38">
        <f>IF(P195="","",IF(P195&lt;5,"Pendente",IF(NOT(cad_limites_ok),"Pendente",IF(K195=3,"A",IF(Q195&gt;=cad_limite_a,"A",IF(Q195&gt;=cad_limite_b,"B","C"))))))</f>
        <v/>
      </c>
      <c r="S195" s="40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36" t="n"/>
      <c r="B196" s="36" t="n"/>
      <c r="C196" s="37" t="n"/>
      <c r="D196" s="36" t="n"/>
      <c r="E196" s="38">
        <f>IF(D196="","",IFERROR(INDEX(lst_tipo_nome,MATCH(D196,lst_tipo_id,0)),"Tipo não cadastrado em Listas"))</f>
        <v/>
      </c>
      <c r="F196" s="36" t="n"/>
      <c r="G196" s="36" t="n"/>
      <c r="H196" s="36" t="n"/>
      <c r="I196" s="39" t="n"/>
      <c r="J196" s="38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39" t="n"/>
      <c r="L196" s="39" t="n"/>
      <c r="M196" s="39" t="n"/>
      <c r="N196" s="39" t="n"/>
      <c r="O196" s="39" t="n"/>
      <c r="P196" s="38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38">
        <f>IF(P196=5,SUM(K196:O196),"")</f>
        <v/>
      </c>
      <c r="R196" s="38">
        <f>IF(P196="","",IF(P196&lt;5,"Pendente",IF(NOT(cad_limites_ok),"Pendente",IF(K196=3,"A",IF(Q196&gt;=cad_limite_a,"A",IF(Q196&gt;=cad_limite_b,"B","C"))))))</f>
        <v/>
      </c>
      <c r="S196" s="40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36" t="n"/>
      <c r="B197" s="36" t="n"/>
      <c r="C197" s="37" t="n"/>
      <c r="D197" s="36" t="n"/>
      <c r="E197" s="38">
        <f>IF(D197="","",IFERROR(INDEX(lst_tipo_nome,MATCH(D197,lst_tipo_id,0)),"Tipo não cadastrado em Listas"))</f>
        <v/>
      </c>
      <c r="F197" s="36" t="n"/>
      <c r="G197" s="36" t="n"/>
      <c r="H197" s="36" t="n"/>
      <c r="I197" s="39" t="n"/>
      <c r="J197" s="38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39" t="n"/>
      <c r="L197" s="39" t="n"/>
      <c r="M197" s="39" t="n"/>
      <c r="N197" s="39" t="n"/>
      <c r="O197" s="39" t="n"/>
      <c r="P197" s="38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38">
        <f>IF(P197=5,SUM(K197:O197),"")</f>
        <v/>
      </c>
      <c r="R197" s="38">
        <f>IF(P197="","",IF(P197&lt;5,"Pendente",IF(NOT(cad_limites_ok),"Pendente",IF(K197=3,"A",IF(Q197&gt;=cad_limite_a,"A",IF(Q197&gt;=cad_limite_b,"B","C"))))))</f>
        <v/>
      </c>
      <c r="S197" s="40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36" t="n"/>
      <c r="B198" s="36" t="n"/>
      <c r="C198" s="37" t="n"/>
      <c r="D198" s="36" t="n"/>
      <c r="E198" s="38">
        <f>IF(D198="","",IFERROR(INDEX(lst_tipo_nome,MATCH(D198,lst_tipo_id,0)),"Tipo não cadastrado em Listas"))</f>
        <v/>
      </c>
      <c r="F198" s="36" t="n"/>
      <c r="G198" s="36" t="n"/>
      <c r="H198" s="36" t="n"/>
      <c r="I198" s="39" t="n"/>
      <c r="J198" s="38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39" t="n"/>
      <c r="L198" s="39" t="n"/>
      <c r="M198" s="39" t="n"/>
      <c r="N198" s="39" t="n"/>
      <c r="O198" s="39" t="n"/>
      <c r="P198" s="38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38">
        <f>IF(P198=5,SUM(K198:O198),"")</f>
        <v/>
      </c>
      <c r="R198" s="38">
        <f>IF(P198="","",IF(P198&lt;5,"Pendente",IF(NOT(cad_limites_ok),"Pendente",IF(K198=3,"A",IF(Q198&gt;=cad_limite_a,"A",IF(Q198&gt;=cad_limite_b,"B","C"))))))</f>
        <v/>
      </c>
      <c r="S198" s="40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36" t="n"/>
      <c r="B199" s="36" t="n"/>
      <c r="C199" s="37" t="n"/>
      <c r="D199" s="36" t="n"/>
      <c r="E199" s="38">
        <f>IF(D199="","",IFERROR(INDEX(lst_tipo_nome,MATCH(D199,lst_tipo_id,0)),"Tipo não cadastrado em Listas"))</f>
        <v/>
      </c>
      <c r="F199" s="36" t="n"/>
      <c r="G199" s="36" t="n"/>
      <c r="H199" s="36" t="n"/>
      <c r="I199" s="39" t="n"/>
      <c r="J199" s="38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39" t="n"/>
      <c r="L199" s="39" t="n"/>
      <c r="M199" s="39" t="n"/>
      <c r="N199" s="39" t="n"/>
      <c r="O199" s="39" t="n"/>
      <c r="P199" s="38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38">
        <f>IF(P199=5,SUM(K199:O199),"")</f>
        <v/>
      </c>
      <c r="R199" s="38">
        <f>IF(P199="","",IF(P199&lt;5,"Pendente",IF(NOT(cad_limites_ok),"Pendente",IF(K199=3,"A",IF(Q199&gt;=cad_limite_a,"A",IF(Q199&gt;=cad_limite_b,"B","C"))))))</f>
        <v/>
      </c>
      <c r="S199" s="40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36" t="n"/>
      <c r="B200" s="36" t="n"/>
      <c r="C200" s="37" t="n"/>
      <c r="D200" s="36" t="n"/>
      <c r="E200" s="38">
        <f>IF(D200="","",IFERROR(INDEX(lst_tipo_nome,MATCH(D200,lst_tipo_id,0)),"Tipo não cadastrado em Listas"))</f>
        <v/>
      </c>
      <c r="F200" s="36" t="n"/>
      <c r="G200" s="36" t="n"/>
      <c r="H200" s="36" t="n"/>
      <c r="I200" s="39" t="n"/>
      <c r="J200" s="38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39" t="n"/>
      <c r="L200" s="39" t="n"/>
      <c r="M200" s="39" t="n"/>
      <c r="N200" s="39" t="n"/>
      <c r="O200" s="39" t="n"/>
      <c r="P200" s="38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38">
        <f>IF(P200=5,SUM(K200:O200),"")</f>
        <v/>
      </c>
      <c r="R200" s="38">
        <f>IF(P200="","",IF(P200&lt;5,"Pendente",IF(NOT(cad_limites_ok),"Pendente",IF(K200=3,"A",IF(Q200&gt;=cad_limite_a,"A",IF(Q200&gt;=cad_limite_b,"B","C"))))))</f>
        <v/>
      </c>
      <c r="S200" s="40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36" t="n"/>
      <c r="B201" s="36" t="n"/>
      <c r="C201" s="37" t="n"/>
      <c r="D201" s="36" t="n"/>
      <c r="E201" s="38">
        <f>IF(D201="","",IFERROR(INDEX(lst_tipo_nome,MATCH(D201,lst_tipo_id,0)),"Tipo não cadastrado em Listas"))</f>
        <v/>
      </c>
      <c r="F201" s="36" t="n"/>
      <c r="G201" s="36" t="n"/>
      <c r="H201" s="36" t="n"/>
      <c r="I201" s="39" t="n"/>
      <c r="J201" s="38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39" t="n"/>
      <c r="L201" s="39" t="n"/>
      <c r="M201" s="39" t="n"/>
      <c r="N201" s="39" t="n"/>
      <c r="O201" s="39" t="n"/>
      <c r="P201" s="38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38">
        <f>IF(P201=5,SUM(K201:O201),"")</f>
        <v/>
      </c>
      <c r="R201" s="38">
        <f>IF(P201="","",IF(P201&lt;5,"Pendente",IF(NOT(cad_limites_ok),"Pendente",IF(K201=3,"A",IF(Q201&gt;=cad_limite_a,"A",IF(Q201&gt;=cad_limite_b,"B","C"))))))</f>
        <v/>
      </c>
      <c r="S201" s="40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36" t="n"/>
      <c r="B202" s="36" t="n"/>
      <c r="C202" s="37" t="n"/>
      <c r="D202" s="36" t="n"/>
      <c r="E202" s="38">
        <f>IF(D202="","",IFERROR(INDEX(lst_tipo_nome,MATCH(D202,lst_tipo_id,0)),"Tipo não cadastrado em Listas"))</f>
        <v/>
      </c>
      <c r="F202" s="36" t="n"/>
      <c r="G202" s="36" t="n"/>
      <c r="H202" s="36" t="n"/>
      <c r="I202" s="39" t="n"/>
      <c r="J202" s="38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39" t="n"/>
      <c r="L202" s="39" t="n"/>
      <c r="M202" s="39" t="n"/>
      <c r="N202" s="39" t="n"/>
      <c r="O202" s="39" t="n"/>
      <c r="P202" s="38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38">
        <f>IF(P202=5,SUM(K202:O202),"")</f>
        <v/>
      </c>
      <c r="R202" s="38">
        <f>IF(P202="","",IF(P202&lt;5,"Pendente",IF(NOT(cad_limites_ok),"Pendente",IF(K202=3,"A",IF(Q202&gt;=cad_limite_a,"A",IF(Q202&gt;=cad_limite_b,"B","C"))))))</f>
        <v/>
      </c>
      <c r="S202" s="40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36" t="n"/>
      <c r="B203" s="36" t="n"/>
      <c r="C203" s="37" t="n"/>
      <c r="D203" s="36" t="n"/>
      <c r="E203" s="38">
        <f>IF(D203="","",IFERROR(INDEX(lst_tipo_nome,MATCH(D203,lst_tipo_id,0)),"Tipo não cadastrado em Listas"))</f>
        <v/>
      </c>
      <c r="F203" s="36" t="n"/>
      <c r="G203" s="36" t="n"/>
      <c r="H203" s="36" t="n"/>
      <c r="I203" s="39" t="n"/>
      <c r="J203" s="38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39" t="n"/>
      <c r="L203" s="39" t="n"/>
      <c r="M203" s="39" t="n"/>
      <c r="N203" s="39" t="n"/>
      <c r="O203" s="39" t="n"/>
      <c r="P203" s="38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38">
        <f>IF(P203=5,SUM(K203:O203),"")</f>
        <v/>
      </c>
      <c r="R203" s="38">
        <f>IF(P203="","",IF(P203&lt;5,"Pendente",IF(NOT(cad_limites_ok),"Pendente",IF(K203=3,"A",IF(Q203&gt;=cad_limite_a,"A",IF(Q203&gt;=cad_limite_b,"B","C"))))))</f>
        <v/>
      </c>
      <c r="S203" s="40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36" t="n"/>
      <c r="B204" s="36" t="n"/>
      <c r="C204" s="37" t="n"/>
      <c r="D204" s="36" t="n"/>
      <c r="E204" s="38">
        <f>IF(D204="","",IFERROR(INDEX(lst_tipo_nome,MATCH(D204,lst_tipo_id,0)),"Tipo não cadastrado em Listas"))</f>
        <v/>
      </c>
      <c r="F204" s="36" t="n"/>
      <c r="G204" s="36" t="n"/>
      <c r="H204" s="36" t="n"/>
      <c r="I204" s="39" t="n"/>
      <c r="J204" s="38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39" t="n"/>
      <c r="L204" s="39" t="n"/>
      <c r="M204" s="39" t="n"/>
      <c r="N204" s="39" t="n"/>
      <c r="O204" s="39" t="n"/>
      <c r="P204" s="38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38">
        <f>IF(P204=5,SUM(K204:O204),"")</f>
        <v/>
      </c>
      <c r="R204" s="38">
        <f>IF(P204="","",IF(P204&lt;5,"Pendente",IF(NOT(cad_limites_ok),"Pendente",IF(K204=3,"A",IF(Q204&gt;=cad_limite_a,"A",IF(Q204&gt;=cad_limite_b,"B","C"))))))</f>
        <v/>
      </c>
      <c r="S204" s="40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36" t="n"/>
      <c r="B205" s="36" t="n"/>
      <c r="C205" s="37" t="n"/>
      <c r="D205" s="36" t="n"/>
      <c r="E205" s="38">
        <f>IF(D205="","",IFERROR(INDEX(lst_tipo_nome,MATCH(D205,lst_tipo_id,0)),"Tipo não cadastrado em Listas"))</f>
        <v/>
      </c>
      <c r="F205" s="36" t="n"/>
      <c r="G205" s="36" t="n"/>
      <c r="H205" s="36" t="n"/>
      <c r="I205" s="39" t="n"/>
      <c r="J205" s="38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39" t="n"/>
      <c r="L205" s="39" t="n"/>
      <c r="M205" s="39" t="n"/>
      <c r="N205" s="39" t="n"/>
      <c r="O205" s="39" t="n"/>
      <c r="P205" s="38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38">
        <f>IF(P205=5,SUM(K205:O205),"")</f>
        <v/>
      </c>
      <c r="R205" s="38">
        <f>IF(P205="","",IF(P205&lt;5,"Pendente",IF(NOT(cad_limites_ok),"Pendente",IF(K205=3,"A",IF(Q205&gt;=cad_limite_a,"A",IF(Q205&gt;=cad_limite_b,"B","C"))))))</f>
        <v/>
      </c>
      <c r="S205" s="40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36" t="n"/>
      <c r="B206" s="36" t="n"/>
      <c r="C206" s="37" t="n"/>
      <c r="D206" s="36" t="n"/>
      <c r="E206" s="38">
        <f>IF(D206="","",IFERROR(INDEX(lst_tipo_nome,MATCH(D206,lst_tipo_id,0)),"Tipo não cadastrado em Listas"))</f>
        <v/>
      </c>
      <c r="F206" s="36" t="n"/>
      <c r="G206" s="36" t="n"/>
      <c r="H206" s="36" t="n"/>
      <c r="I206" s="39" t="n"/>
      <c r="J206" s="38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39" t="n"/>
      <c r="L206" s="39" t="n"/>
      <c r="M206" s="39" t="n"/>
      <c r="N206" s="39" t="n"/>
      <c r="O206" s="39" t="n"/>
      <c r="P206" s="38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38">
        <f>IF(P206=5,SUM(K206:O206),"")</f>
        <v/>
      </c>
      <c r="R206" s="38">
        <f>IF(P206="","",IF(P206&lt;5,"Pendente",IF(NOT(cad_limites_ok),"Pendente",IF(K206=3,"A",IF(Q206&gt;=cad_limite_a,"A",IF(Q206&gt;=cad_limite_b,"B","C"))))))</f>
        <v/>
      </c>
      <c r="S206" s="40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36" t="n"/>
      <c r="B207" s="36" t="n"/>
      <c r="C207" s="37" t="n"/>
      <c r="D207" s="36" t="n"/>
      <c r="E207" s="38">
        <f>IF(D207="","",IFERROR(INDEX(lst_tipo_nome,MATCH(D207,lst_tipo_id,0)),"Tipo não cadastrado em Listas"))</f>
        <v/>
      </c>
      <c r="F207" s="36" t="n"/>
      <c r="G207" s="36" t="n"/>
      <c r="H207" s="36" t="n"/>
      <c r="I207" s="39" t="n"/>
      <c r="J207" s="38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39" t="n"/>
      <c r="L207" s="39" t="n"/>
      <c r="M207" s="39" t="n"/>
      <c r="N207" s="39" t="n"/>
      <c r="O207" s="39" t="n"/>
      <c r="P207" s="38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38">
        <f>IF(P207=5,SUM(K207:O207),"")</f>
        <v/>
      </c>
      <c r="R207" s="38">
        <f>IF(P207="","",IF(P207&lt;5,"Pendente",IF(NOT(cad_limites_ok),"Pendente",IF(K207=3,"A",IF(Q207&gt;=cad_limite_a,"A",IF(Q207&gt;=cad_limite_b,"B","C"))))))</f>
        <v/>
      </c>
      <c r="S207" s="40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36" t="n"/>
      <c r="B208" s="36" t="n"/>
      <c r="C208" s="37" t="n"/>
      <c r="D208" s="36" t="n"/>
      <c r="E208" s="38">
        <f>IF(D208="","",IFERROR(INDEX(lst_tipo_nome,MATCH(D208,lst_tipo_id,0)),"Tipo não cadastrado em Listas"))</f>
        <v/>
      </c>
      <c r="F208" s="36" t="n"/>
      <c r="G208" s="36" t="n"/>
      <c r="H208" s="36" t="n"/>
      <c r="I208" s="39" t="n"/>
      <c r="J208" s="38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39" t="n"/>
      <c r="L208" s="39" t="n"/>
      <c r="M208" s="39" t="n"/>
      <c r="N208" s="39" t="n"/>
      <c r="O208" s="39" t="n"/>
      <c r="P208" s="38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38">
        <f>IF(P208=5,SUM(K208:O208),"")</f>
        <v/>
      </c>
      <c r="R208" s="38">
        <f>IF(P208="","",IF(P208&lt;5,"Pendente",IF(NOT(cad_limites_ok),"Pendente",IF(K208=3,"A",IF(Q208&gt;=cad_limite_a,"A",IF(Q208&gt;=cad_limite_b,"B","C"))))))</f>
        <v/>
      </c>
      <c r="S208" s="40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36" t="n"/>
      <c r="B209" s="36" t="n"/>
      <c r="C209" s="37" t="n"/>
      <c r="D209" s="36" t="n"/>
      <c r="E209" s="38">
        <f>IF(D209="","",IFERROR(INDEX(lst_tipo_nome,MATCH(D209,lst_tipo_id,0)),"Tipo não cadastrado em Listas"))</f>
        <v/>
      </c>
      <c r="F209" s="36" t="n"/>
      <c r="G209" s="36" t="n"/>
      <c r="H209" s="36" t="n"/>
      <c r="I209" s="39" t="n"/>
      <c r="J209" s="38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39" t="n"/>
      <c r="L209" s="39" t="n"/>
      <c r="M209" s="39" t="n"/>
      <c r="N209" s="39" t="n"/>
      <c r="O209" s="39" t="n"/>
      <c r="P209" s="38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38">
        <f>IF(P209=5,SUM(K209:O209),"")</f>
        <v/>
      </c>
      <c r="R209" s="38">
        <f>IF(P209="","",IF(P209&lt;5,"Pendente",IF(NOT(cad_limites_ok),"Pendente",IF(K209=3,"A",IF(Q209&gt;=cad_limite_a,"A",IF(Q209&gt;=cad_limite_b,"B","C"))))))</f>
        <v/>
      </c>
      <c r="S209" s="40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36" t="n"/>
      <c r="B210" s="36" t="n"/>
      <c r="C210" s="37" t="n"/>
      <c r="D210" s="36" t="n"/>
      <c r="E210" s="38">
        <f>IF(D210="","",IFERROR(INDEX(lst_tipo_nome,MATCH(D210,lst_tipo_id,0)),"Tipo não cadastrado em Listas"))</f>
        <v/>
      </c>
      <c r="F210" s="36" t="n"/>
      <c r="G210" s="36" t="n"/>
      <c r="H210" s="36" t="n"/>
      <c r="I210" s="39" t="n"/>
      <c r="J210" s="38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39" t="n"/>
      <c r="L210" s="39" t="n"/>
      <c r="M210" s="39" t="n"/>
      <c r="N210" s="39" t="n"/>
      <c r="O210" s="39" t="n"/>
      <c r="P210" s="38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38">
        <f>IF(P210=5,SUM(K210:O210),"")</f>
        <v/>
      </c>
      <c r="R210" s="38">
        <f>IF(P210="","",IF(P210&lt;5,"Pendente",IF(NOT(cad_limites_ok),"Pendente",IF(K210=3,"A",IF(Q210&gt;=cad_limite_a,"A",IF(Q210&gt;=cad_limite_b,"B","C"))))))</f>
        <v/>
      </c>
      <c r="S210" s="40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36" t="n"/>
      <c r="B211" s="36" t="n"/>
      <c r="C211" s="37" t="n"/>
      <c r="D211" s="36" t="n"/>
      <c r="E211" s="38">
        <f>IF(D211="","",IFERROR(INDEX(lst_tipo_nome,MATCH(D211,lst_tipo_id,0)),"Tipo não cadastrado em Listas"))</f>
        <v/>
      </c>
      <c r="F211" s="36" t="n"/>
      <c r="G211" s="36" t="n"/>
      <c r="H211" s="36" t="n"/>
      <c r="I211" s="39" t="n"/>
      <c r="J211" s="38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39" t="n"/>
      <c r="L211" s="39" t="n"/>
      <c r="M211" s="39" t="n"/>
      <c r="N211" s="39" t="n"/>
      <c r="O211" s="39" t="n"/>
      <c r="P211" s="38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38">
        <f>IF(P211=5,SUM(K211:O211),"")</f>
        <v/>
      </c>
      <c r="R211" s="38">
        <f>IF(P211="","",IF(P211&lt;5,"Pendente",IF(NOT(cad_limites_ok),"Pendente",IF(K211=3,"A",IF(Q211&gt;=cad_limite_a,"A",IF(Q211&gt;=cad_limite_b,"B","C"))))))</f>
        <v/>
      </c>
      <c r="S211" s="40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36" t="n"/>
      <c r="B212" s="36" t="n"/>
      <c r="C212" s="37" t="n"/>
      <c r="D212" s="36" t="n"/>
      <c r="E212" s="38">
        <f>IF(D212="","",IFERROR(INDEX(lst_tipo_nome,MATCH(D212,lst_tipo_id,0)),"Tipo não cadastrado em Listas"))</f>
        <v/>
      </c>
      <c r="F212" s="36" t="n"/>
      <c r="G212" s="36" t="n"/>
      <c r="H212" s="36" t="n"/>
      <c r="I212" s="39" t="n"/>
      <c r="J212" s="38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39" t="n"/>
      <c r="L212" s="39" t="n"/>
      <c r="M212" s="39" t="n"/>
      <c r="N212" s="39" t="n"/>
      <c r="O212" s="39" t="n"/>
      <c r="P212" s="38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38">
        <f>IF(P212=5,SUM(K212:O212),"")</f>
        <v/>
      </c>
      <c r="R212" s="38">
        <f>IF(P212="","",IF(P212&lt;5,"Pendente",IF(NOT(cad_limites_ok),"Pendente",IF(K212=3,"A",IF(Q212&gt;=cad_limite_a,"A",IF(Q212&gt;=cad_limite_b,"B","C"))))))</f>
        <v/>
      </c>
      <c r="S212" s="40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36" t="n"/>
      <c r="B213" s="36" t="n"/>
      <c r="C213" s="37" t="n"/>
      <c r="D213" s="36" t="n"/>
      <c r="E213" s="38">
        <f>IF(D213="","",IFERROR(INDEX(lst_tipo_nome,MATCH(D213,lst_tipo_id,0)),"Tipo não cadastrado em Listas"))</f>
        <v/>
      </c>
      <c r="F213" s="36" t="n"/>
      <c r="G213" s="36" t="n"/>
      <c r="H213" s="36" t="n"/>
      <c r="I213" s="39" t="n"/>
      <c r="J213" s="38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39" t="n"/>
      <c r="L213" s="39" t="n"/>
      <c r="M213" s="39" t="n"/>
      <c r="N213" s="39" t="n"/>
      <c r="O213" s="39" t="n"/>
      <c r="P213" s="38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38">
        <f>IF(P213=5,SUM(K213:O213),"")</f>
        <v/>
      </c>
      <c r="R213" s="38">
        <f>IF(P213="","",IF(P213&lt;5,"Pendente",IF(NOT(cad_limites_ok),"Pendente",IF(K213=3,"A",IF(Q213&gt;=cad_limite_a,"A",IF(Q213&gt;=cad_limite_b,"B","C"))))))</f>
        <v/>
      </c>
      <c r="S213" s="40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36" t="n"/>
      <c r="B214" s="36" t="n"/>
      <c r="C214" s="37" t="n"/>
      <c r="D214" s="36" t="n"/>
      <c r="E214" s="38">
        <f>IF(D214="","",IFERROR(INDEX(lst_tipo_nome,MATCH(D214,lst_tipo_id,0)),"Tipo não cadastrado em Listas"))</f>
        <v/>
      </c>
      <c r="F214" s="36" t="n"/>
      <c r="G214" s="36" t="n"/>
      <c r="H214" s="36" t="n"/>
      <c r="I214" s="39" t="n"/>
      <c r="J214" s="38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39" t="n"/>
      <c r="L214" s="39" t="n"/>
      <c r="M214" s="39" t="n"/>
      <c r="N214" s="39" t="n"/>
      <c r="O214" s="39" t="n"/>
      <c r="P214" s="38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38">
        <f>IF(P214=5,SUM(K214:O214),"")</f>
        <v/>
      </c>
      <c r="R214" s="38">
        <f>IF(P214="","",IF(P214&lt;5,"Pendente",IF(NOT(cad_limites_ok),"Pendente",IF(K214=3,"A",IF(Q214&gt;=cad_limite_a,"A",IF(Q214&gt;=cad_limite_b,"B","C"))))))</f>
        <v/>
      </c>
      <c r="S214" s="40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36" t="n"/>
      <c r="B215" s="36" t="n"/>
      <c r="C215" s="37" t="n"/>
      <c r="D215" s="36" t="n"/>
      <c r="E215" s="38">
        <f>IF(D215="","",IFERROR(INDEX(lst_tipo_nome,MATCH(D215,lst_tipo_id,0)),"Tipo não cadastrado em Listas"))</f>
        <v/>
      </c>
      <c r="F215" s="36" t="n"/>
      <c r="G215" s="36" t="n"/>
      <c r="H215" s="36" t="n"/>
      <c r="I215" s="39" t="n"/>
      <c r="J215" s="38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39" t="n"/>
      <c r="L215" s="39" t="n"/>
      <c r="M215" s="39" t="n"/>
      <c r="N215" s="39" t="n"/>
      <c r="O215" s="39" t="n"/>
      <c r="P215" s="38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38">
        <f>IF(P215=5,SUM(K215:O215),"")</f>
        <v/>
      </c>
      <c r="R215" s="38">
        <f>IF(P215="","",IF(P215&lt;5,"Pendente",IF(NOT(cad_limites_ok),"Pendente",IF(K215=3,"A",IF(Q215&gt;=cad_limite_a,"A",IF(Q215&gt;=cad_limite_b,"B","C"))))))</f>
        <v/>
      </c>
      <c r="S215" s="40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36" t="n"/>
      <c r="B216" s="36" t="n"/>
      <c r="C216" s="37" t="n"/>
      <c r="D216" s="36" t="n"/>
      <c r="E216" s="38">
        <f>IF(D216="","",IFERROR(INDEX(lst_tipo_nome,MATCH(D216,lst_tipo_id,0)),"Tipo não cadastrado em Listas"))</f>
        <v/>
      </c>
      <c r="F216" s="36" t="n"/>
      <c r="G216" s="36" t="n"/>
      <c r="H216" s="36" t="n"/>
      <c r="I216" s="39" t="n"/>
      <c r="J216" s="38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39" t="n"/>
      <c r="L216" s="39" t="n"/>
      <c r="M216" s="39" t="n"/>
      <c r="N216" s="39" t="n"/>
      <c r="O216" s="39" t="n"/>
      <c r="P216" s="38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38">
        <f>IF(P216=5,SUM(K216:O216),"")</f>
        <v/>
      </c>
      <c r="R216" s="38">
        <f>IF(P216="","",IF(P216&lt;5,"Pendente",IF(NOT(cad_limites_ok),"Pendente",IF(K216=3,"A",IF(Q216&gt;=cad_limite_a,"A",IF(Q216&gt;=cad_limite_b,"B","C"))))))</f>
        <v/>
      </c>
      <c r="S216" s="40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36" t="n"/>
      <c r="B217" s="36" t="n"/>
      <c r="C217" s="37" t="n"/>
      <c r="D217" s="36" t="n"/>
      <c r="E217" s="38">
        <f>IF(D217="","",IFERROR(INDEX(lst_tipo_nome,MATCH(D217,lst_tipo_id,0)),"Tipo não cadastrado em Listas"))</f>
        <v/>
      </c>
      <c r="F217" s="36" t="n"/>
      <c r="G217" s="36" t="n"/>
      <c r="H217" s="36" t="n"/>
      <c r="I217" s="39" t="n"/>
      <c r="J217" s="38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39" t="n"/>
      <c r="L217" s="39" t="n"/>
      <c r="M217" s="39" t="n"/>
      <c r="N217" s="39" t="n"/>
      <c r="O217" s="39" t="n"/>
      <c r="P217" s="38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38">
        <f>IF(P217=5,SUM(K217:O217),"")</f>
        <v/>
      </c>
      <c r="R217" s="38">
        <f>IF(P217="","",IF(P217&lt;5,"Pendente",IF(NOT(cad_limites_ok),"Pendente",IF(K217=3,"A",IF(Q217&gt;=cad_limite_a,"A",IF(Q217&gt;=cad_limite_b,"B","C"))))))</f>
        <v/>
      </c>
      <c r="S217" s="40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36" t="n"/>
      <c r="B218" s="36" t="n"/>
      <c r="C218" s="37" t="n"/>
      <c r="D218" s="36" t="n"/>
      <c r="E218" s="38">
        <f>IF(D218="","",IFERROR(INDEX(lst_tipo_nome,MATCH(D218,lst_tipo_id,0)),"Tipo não cadastrado em Listas"))</f>
        <v/>
      </c>
      <c r="F218" s="36" t="n"/>
      <c r="G218" s="36" t="n"/>
      <c r="H218" s="36" t="n"/>
      <c r="I218" s="39" t="n"/>
      <c r="J218" s="38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39" t="n"/>
      <c r="L218" s="39" t="n"/>
      <c r="M218" s="39" t="n"/>
      <c r="N218" s="39" t="n"/>
      <c r="O218" s="39" t="n"/>
      <c r="P218" s="38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38">
        <f>IF(P218=5,SUM(K218:O218),"")</f>
        <v/>
      </c>
      <c r="R218" s="38">
        <f>IF(P218="","",IF(P218&lt;5,"Pendente",IF(NOT(cad_limites_ok),"Pendente",IF(K218=3,"A",IF(Q218&gt;=cad_limite_a,"A",IF(Q218&gt;=cad_limite_b,"B","C"))))))</f>
        <v/>
      </c>
      <c r="S218" s="40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36" t="n"/>
      <c r="B219" s="36" t="n"/>
      <c r="C219" s="37" t="n"/>
      <c r="D219" s="36" t="n"/>
      <c r="E219" s="38">
        <f>IF(D219="","",IFERROR(INDEX(lst_tipo_nome,MATCH(D219,lst_tipo_id,0)),"Tipo não cadastrado em Listas"))</f>
        <v/>
      </c>
      <c r="F219" s="36" t="n"/>
      <c r="G219" s="36" t="n"/>
      <c r="H219" s="36" t="n"/>
      <c r="I219" s="39" t="n"/>
      <c r="J219" s="38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39" t="n"/>
      <c r="L219" s="39" t="n"/>
      <c r="M219" s="39" t="n"/>
      <c r="N219" s="39" t="n"/>
      <c r="O219" s="39" t="n"/>
      <c r="P219" s="38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38">
        <f>IF(P219=5,SUM(K219:O219),"")</f>
        <v/>
      </c>
      <c r="R219" s="38">
        <f>IF(P219="","",IF(P219&lt;5,"Pendente",IF(NOT(cad_limites_ok),"Pendente",IF(K219=3,"A",IF(Q219&gt;=cad_limite_a,"A",IF(Q219&gt;=cad_limite_b,"B","C"))))))</f>
        <v/>
      </c>
      <c r="S219" s="40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36" t="n"/>
      <c r="B220" s="36" t="n"/>
      <c r="C220" s="37" t="n"/>
      <c r="D220" s="36" t="n"/>
      <c r="E220" s="38">
        <f>IF(D220="","",IFERROR(INDEX(lst_tipo_nome,MATCH(D220,lst_tipo_id,0)),"Tipo não cadastrado em Listas"))</f>
        <v/>
      </c>
      <c r="F220" s="36" t="n"/>
      <c r="G220" s="36" t="n"/>
      <c r="H220" s="36" t="n"/>
      <c r="I220" s="39" t="n"/>
      <c r="J220" s="38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39" t="n"/>
      <c r="L220" s="39" t="n"/>
      <c r="M220" s="39" t="n"/>
      <c r="N220" s="39" t="n"/>
      <c r="O220" s="39" t="n"/>
      <c r="P220" s="38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38">
        <f>IF(P220=5,SUM(K220:O220),"")</f>
        <v/>
      </c>
      <c r="R220" s="38">
        <f>IF(P220="","",IF(P220&lt;5,"Pendente",IF(NOT(cad_limites_ok),"Pendente",IF(K220=3,"A",IF(Q220&gt;=cad_limite_a,"A",IF(Q220&gt;=cad_limite_b,"B","C"))))))</f>
        <v/>
      </c>
      <c r="S220" s="40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36" t="n"/>
      <c r="B221" s="36" t="n"/>
      <c r="C221" s="37" t="n"/>
      <c r="D221" s="36" t="n"/>
      <c r="E221" s="38">
        <f>IF(D221="","",IFERROR(INDEX(lst_tipo_nome,MATCH(D221,lst_tipo_id,0)),"Tipo não cadastrado em Listas"))</f>
        <v/>
      </c>
      <c r="F221" s="36" t="n"/>
      <c r="G221" s="36" t="n"/>
      <c r="H221" s="36" t="n"/>
      <c r="I221" s="39" t="n"/>
      <c r="J221" s="38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39" t="n"/>
      <c r="L221" s="39" t="n"/>
      <c r="M221" s="39" t="n"/>
      <c r="N221" s="39" t="n"/>
      <c r="O221" s="39" t="n"/>
      <c r="P221" s="38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38">
        <f>IF(P221=5,SUM(K221:O221),"")</f>
        <v/>
      </c>
      <c r="R221" s="38">
        <f>IF(P221="","",IF(P221&lt;5,"Pendente",IF(NOT(cad_limites_ok),"Pendente",IF(K221=3,"A",IF(Q221&gt;=cad_limite_a,"A",IF(Q221&gt;=cad_limite_b,"B","C"))))))</f>
        <v/>
      </c>
      <c r="S221" s="40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36" t="n"/>
      <c r="B222" s="36" t="n"/>
      <c r="C222" s="37" t="n"/>
      <c r="D222" s="36" t="n"/>
      <c r="E222" s="38">
        <f>IF(D222="","",IFERROR(INDEX(lst_tipo_nome,MATCH(D222,lst_tipo_id,0)),"Tipo não cadastrado em Listas"))</f>
        <v/>
      </c>
      <c r="F222" s="36" t="n"/>
      <c r="G222" s="36" t="n"/>
      <c r="H222" s="36" t="n"/>
      <c r="I222" s="39" t="n"/>
      <c r="J222" s="38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39" t="n"/>
      <c r="L222" s="39" t="n"/>
      <c r="M222" s="39" t="n"/>
      <c r="N222" s="39" t="n"/>
      <c r="O222" s="39" t="n"/>
      <c r="P222" s="38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38">
        <f>IF(P222=5,SUM(K222:O222),"")</f>
        <v/>
      </c>
      <c r="R222" s="38">
        <f>IF(P222="","",IF(P222&lt;5,"Pendente",IF(NOT(cad_limites_ok),"Pendente",IF(K222=3,"A",IF(Q222&gt;=cad_limite_a,"A",IF(Q222&gt;=cad_limite_b,"B","C"))))))</f>
        <v/>
      </c>
      <c r="S222" s="40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36" t="n"/>
      <c r="B223" s="36" t="n"/>
      <c r="C223" s="37" t="n"/>
      <c r="D223" s="36" t="n"/>
      <c r="E223" s="38">
        <f>IF(D223="","",IFERROR(INDEX(lst_tipo_nome,MATCH(D223,lst_tipo_id,0)),"Tipo não cadastrado em Listas"))</f>
        <v/>
      </c>
      <c r="F223" s="36" t="n"/>
      <c r="G223" s="36" t="n"/>
      <c r="H223" s="36" t="n"/>
      <c r="I223" s="39" t="n"/>
      <c r="J223" s="38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39" t="n"/>
      <c r="L223" s="39" t="n"/>
      <c r="M223" s="39" t="n"/>
      <c r="N223" s="39" t="n"/>
      <c r="O223" s="39" t="n"/>
      <c r="P223" s="38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38">
        <f>IF(P223=5,SUM(K223:O223),"")</f>
        <v/>
      </c>
      <c r="R223" s="38">
        <f>IF(P223="","",IF(P223&lt;5,"Pendente",IF(NOT(cad_limites_ok),"Pendente",IF(K223=3,"A",IF(Q223&gt;=cad_limite_a,"A",IF(Q223&gt;=cad_limite_b,"B","C"))))))</f>
        <v/>
      </c>
      <c r="S223" s="40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36" t="n"/>
      <c r="B224" s="36" t="n"/>
      <c r="C224" s="37" t="n"/>
      <c r="D224" s="36" t="n"/>
      <c r="E224" s="38">
        <f>IF(D224="","",IFERROR(INDEX(lst_tipo_nome,MATCH(D224,lst_tipo_id,0)),"Tipo não cadastrado em Listas"))</f>
        <v/>
      </c>
      <c r="F224" s="36" t="n"/>
      <c r="G224" s="36" t="n"/>
      <c r="H224" s="36" t="n"/>
      <c r="I224" s="39" t="n"/>
      <c r="J224" s="38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39" t="n"/>
      <c r="L224" s="39" t="n"/>
      <c r="M224" s="39" t="n"/>
      <c r="N224" s="39" t="n"/>
      <c r="O224" s="39" t="n"/>
      <c r="P224" s="38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38">
        <f>IF(P224=5,SUM(K224:O224),"")</f>
        <v/>
      </c>
      <c r="R224" s="38">
        <f>IF(P224="","",IF(P224&lt;5,"Pendente",IF(NOT(cad_limites_ok),"Pendente",IF(K224=3,"A",IF(Q224&gt;=cad_limite_a,"A",IF(Q224&gt;=cad_limite_b,"B","C"))))))</f>
        <v/>
      </c>
      <c r="S224" s="40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36" t="n"/>
      <c r="B225" s="36" t="n"/>
      <c r="C225" s="37" t="n"/>
      <c r="D225" s="36" t="n"/>
      <c r="E225" s="38">
        <f>IF(D225="","",IFERROR(INDEX(lst_tipo_nome,MATCH(D225,lst_tipo_id,0)),"Tipo não cadastrado em Listas"))</f>
        <v/>
      </c>
      <c r="F225" s="36" t="n"/>
      <c r="G225" s="36" t="n"/>
      <c r="H225" s="36" t="n"/>
      <c r="I225" s="39" t="n"/>
      <c r="J225" s="38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39" t="n"/>
      <c r="L225" s="39" t="n"/>
      <c r="M225" s="39" t="n"/>
      <c r="N225" s="39" t="n"/>
      <c r="O225" s="39" t="n"/>
      <c r="P225" s="38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38">
        <f>IF(P225=5,SUM(K225:O225),"")</f>
        <v/>
      </c>
      <c r="R225" s="38">
        <f>IF(P225="","",IF(P225&lt;5,"Pendente",IF(NOT(cad_limites_ok),"Pendente",IF(K225=3,"A",IF(Q225&gt;=cad_limite_a,"A",IF(Q225&gt;=cad_limite_b,"B","C"))))))</f>
        <v/>
      </c>
      <c r="S225" s="40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36" t="n"/>
      <c r="B226" s="36" t="n"/>
      <c r="C226" s="37" t="n"/>
      <c r="D226" s="36" t="n"/>
      <c r="E226" s="38">
        <f>IF(D226="","",IFERROR(INDEX(lst_tipo_nome,MATCH(D226,lst_tipo_id,0)),"Tipo não cadastrado em Listas"))</f>
        <v/>
      </c>
      <c r="F226" s="36" t="n"/>
      <c r="G226" s="36" t="n"/>
      <c r="H226" s="36" t="n"/>
      <c r="I226" s="39" t="n"/>
      <c r="J226" s="38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39" t="n"/>
      <c r="L226" s="39" t="n"/>
      <c r="M226" s="39" t="n"/>
      <c r="N226" s="39" t="n"/>
      <c r="O226" s="39" t="n"/>
      <c r="P226" s="38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38">
        <f>IF(P226=5,SUM(K226:O226),"")</f>
        <v/>
      </c>
      <c r="R226" s="38">
        <f>IF(P226="","",IF(P226&lt;5,"Pendente",IF(NOT(cad_limites_ok),"Pendente",IF(K226=3,"A",IF(Q226&gt;=cad_limite_a,"A",IF(Q226&gt;=cad_limite_b,"B","C"))))))</f>
        <v/>
      </c>
      <c r="S226" s="40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36" t="n"/>
      <c r="B227" s="36" t="n"/>
      <c r="C227" s="37" t="n"/>
      <c r="D227" s="36" t="n"/>
      <c r="E227" s="38">
        <f>IF(D227="","",IFERROR(INDEX(lst_tipo_nome,MATCH(D227,lst_tipo_id,0)),"Tipo não cadastrado em Listas"))</f>
        <v/>
      </c>
      <c r="F227" s="36" t="n"/>
      <c r="G227" s="36" t="n"/>
      <c r="H227" s="36" t="n"/>
      <c r="I227" s="39" t="n"/>
      <c r="J227" s="38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39" t="n"/>
      <c r="L227" s="39" t="n"/>
      <c r="M227" s="39" t="n"/>
      <c r="N227" s="39" t="n"/>
      <c r="O227" s="39" t="n"/>
      <c r="P227" s="38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38">
        <f>IF(P227=5,SUM(K227:O227),"")</f>
        <v/>
      </c>
      <c r="R227" s="38">
        <f>IF(P227="","",IF(P227&lt;5,"Pendente",IF(NOT(cad_limites_ok),"Pendente",IF(K227=3,"A",IF(Q227&gt;=cad_limite_a,"A",IF(Q227&gt;=cad_limite_b,"B","C"))))))</f>
        <v/>
      </c>
      <c r="S227" s="40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36" t="n"/>
      <c r="B228" s="36" t="n"/>
      <c r="C228" s="37" t="n"/>
      <c r="D228" s="36" t="n"/>
      <c r="E228" s="38">
        <f>IF(D228="","",IFERROR(INDEX(lst_tipo_nome,MATCH(D228,lst_tipo_id,0)),"Tipo não cadastrado em Listas"))</f>
        <v/>
      </c>
      <c r="F228" s="36" t="n"/>
      <c r="G228" s="36" t="n"/>
      <c r="H228" s="36" t="n"/>
      <c r="I228" s="39" t="n"/>
      <c r="J228" s="38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39" t="n"/>
      <c r="L228" s="39" t="n"/>
      <c r="M228" s="39" t="n"/>
      <c r="N228" s="39" t="n"/>
      <c r="O228" s="39" t="n"/>
      <c r="P228" s="38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38">
        <f>IF(P228=5,SUM(K228:O228),"")</f>
        <v/>
      </c>
      <c r="R228" s="38">
        <f>IF(P228="","",IF(P228&lt;5,"Pendente",IF(NOT(cad_limites_ok),"Pendente",IF(K228=3,"A",IF(Q228&gt;=cad_limite_a,"A",IF(Q228&gt;=cad_limite_b,"B","C"))))))</f>
        <v/>
      </c>
      <c r="S228" s="40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36" t="n"/>
      <c r="B229" s="36" t="n"/>
      <c r="C229" s="37" t="n"/>
      <c r="D229" s="36" t="n"/>
      <c r="E229" s="38">
        <f>IF(D229="","",IFERROR(INDEX(lst_tipo_nome,MATCH(D229,lst_tipo_id,0)),"Tipo não cadastrado em Listas"))</f>
        <v/>
      </c>
      <c r="F229" s="36" t="n"/>
      <c r="G229" s="36" t="n"/>
      <c r="H229" s="36" t="n"/>
      <c r="I229" s="39" t="n"/>
      <c r="J229" s="38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39" t="n"/>
      <c r="L229" s="39" t="n"/>
      <c r="M229" s="39" t="n"/>
      <c r="N229" s="39" t="n"/>
      <c r="O229" s="39" t="n"/>
      <c r="P229" s="38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38">
        <f>IF(P229=5,SUM(K229:O229),"")</f>
        <v/>
      </c>
      <c r="R229" s="38">
        <f>IF(P229="","",IF(P229&lt;5,"Pendente",IF(NOT(cad_limites_ok),"Pendente",IF(K229=3,"A",IF(Q229&gt;=cad_limite_a,"A",IF(Q229&gt;=cad_limite_b,"B","C"))))))</f>
        <v/>
      </c>
      <c r="S229" s="40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36" t="n"/>
      <c r="B230" s="36" t="n"/>
      <c r="C230" s="37" t="n"/>
      <c r="D230" s="36" t="n"/>
      <c r="E230" s="38">
        <f>IF(D230="","",IFERROR(INDEX(lst_tipo_nome,MATCH(D230,lst_tipo_id,0)),"Tipo não cadastrado em Listas"))</f>
        <v/>
      </c>
      <c r="F230" s="36" t="n"/>
      <c r="G230" s="36" t="n"/>
      <c r="H230" s="36" t="n"/>
      <c r="I230" s="39" t="n"/>
      <c r="J230" s="38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39" t="n"/>
      <c r="L230" s="39" t="n"/>
      <c r="M230" s="39" t="n"/>
      <c r="N230" s="39" t="n"/>
      <c r="O230" s="39" t="n"/>
      <c r="P230" s="38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38">
        <f>IF(P230=5,SUM(K230:O230),"")</f>
        <v/>
      </c>
      <c r="R230" s="38">
        <f>IF(P230="","",IF(P230&lt;5,"Pendente",IF(NOT(cad_limites_ok),"Pendente",IF(K230=3,"A",IF(Q230&gt;=cad_limite_a,"A",IF(Q230&gt;=cad_limite_b,"B","C"))))))</f>
        <v/>
      </c>
      <c r="S230" s="40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36" t="n"/>
      <c r="B231" s="36" t="n"/>
      <c r="C231" s="37" t="n"/>
      <c r="D231" s="36" t="n"/>
      <c r="E231" s="38">
        <f>IF(D231="","",IFERROR(INDEX(lst_tipo_nome,MATCH(D231,lst_tipo_id,0)),"Tipo não cadastrado em Listas"))</f>
        <v/>
      </c>
      <c r="F231" s="36" t="n"/>
      <c r="G231" s="36" t="n"/>
      <c r="H231" s="36" t="n"/>
      <c r="I231" s="39" t="n"/>
      <c r="J231" s="38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39" t="n"/>
      <c r="L231" s="39" t="n"/>
      <c r="M231" s="39" t="n"/>
      <c r="N231" s="39" t="n"/>
      <c r="O231" s="39" t="n"/>
      <c r="P231" s="38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38">
        <f>IF(P231=5,SUM(K231:O231),"")</f>
        <v/>
      </c>
      <c r="R231" s="38">
        <f>IF(P231="","",IF(P231&lt;5,"Pendente",IF(NOT(cad_limites_ok),"Pendente",IF(K231=3,"A",IF(Q231&gt;=cad_limite_a,"A",IF(Q231&gt;=cad_limite_b,"B","C"))))))</f>
        <v/>
      </c>
      <c r="S231" s="40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36" t="n"/>
      <c r="B232" s="36" t="n"/>
      <c r="C232" s="37" t="n"/>
      <c r="D232" s="36" t="n"/>
      <c r="E232" s="38">
        <f>IF(D232="","",IFERROR(INDEX(lst_tipo_nome,MATCH(D232,lst_tipo_id,0)),"Tipo não cadastrado em Listas"))</f>
        <v/>
      </c>
      <c r="F232" s="36" t="n"/>
      <c r="G232" s="36" t="n"/>
      <c r="H232" s="36" t="n"/>
      <c r="I232" s="39" t="n"/>
      <c r="J232" s="38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39" t="n"/>
      <c r="L232" s="39" t="n"/>
      <c r="M232" s="39" t="n"/>
      <c r="N232" s="39" t="n"/>
      <c r="O232" s="39" t="n"/>
      <c r="P232" s="38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38">
        <f>IF(P232=5,SUM(K232:O232),"")</f>
        <v/>
      </c>
      <c r="R232" s="38">
        <f>IF(P232="","",IF(P232&lt;5,"Pendente",IF(NOT(cad_limites_ok),"Pendente",IF(K232=3,"A",IF(Q232&gt;=cad_limite_a,"A",IF(Q232&gt;=cad_limite_b,"B","C"))))))</f>
        <v/>
      </c>
      <c r="S232" s="40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36" t="n"/>
      <c r="B233" s="36" t="n"/>
      <c r="C233" s="37" t="n"/>
      <c r="D233" s="36" t="n"/>
      <c r="E233" s="38">
        <f>IF(D233="","",IFERROR(INDEX(lst_tipo_nome,MATCH(D233,lst_tipo_id,0)),"Tipo não cadastrado em Listas"))</f>
        <v/>
      </c>
      <c r="F233" s="36" t="n"/>
      <c r="G233" s="36" t="n"/>
      <c r="H233" s="36" t="n"/>
      <c r="I233" s="39" t="n"/>
      <c r="J233" s="38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39" t="n"/>
      <c r="L233" s="39" t="n"/>
      <c r="M233" s="39" t="n"/>
      <c r="N233" s="39" t="n"/>
      <c r="O233" s="39" t="n"/>
      <c r="P233" s="38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38">
        <f>IF(P233=5,SUM(K233:O233),"")</f>
        <v/>
      </c>
      <c r="R233" s="38">
        <f>IF(P233="","",IF(P233&lt;5,"Pendente",IF(NOT(cad_limites_ok),"Pendente",IF(K233=3,"A",IF(Q233&gt;=cad_limite_a,"A",IF(Q233&gt;=cad_limite_b,"B","C"))))))</f>
        <v/>
      </c>
      <c r="S233" s="40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36" t="n"/>
      <c r="B234" s="36" t="n"/>
      <c r="C234" s="37" t="n"/>
      <c r="D234" s="36" t="n"/>
      <c r="E234" s="38">
        <f>IF(D234="","",IFERROR(INDEX(lst_tipo_nome,MATCH(D234,lst_tipo_id,0)),"Tipo não cadastrado em Listas"))</f>
        <v/>
      </c>
      <c r="F234" s="36" t="n"/>
      <c r="G234" s="36" t="n"/>
      <c r="H234" s="36" t="n"/>
      <c r="I234" s="39" t="n"/>
      <c r="J234" s="38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39" t="n"/>
      <c r="L234" s="39" t="n"/>
      <c r="M234" s="39" t="n"/>
      <c r="N234" s="39" t="n"/>
      <c r="O234" s="39" t="n"/>
      <c r="P234" s="38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38">
        <f>IF(P234=5,SUM(K234:O234),"")</f>
        <v/>
      </c>
      <c r="R234" s="38">
        <f>IF(P234="","",IF(P234&lt;5,"Pendente",IF(NOT(cad_limites_ok),"Pendente",IF(K234=3,"A",IF(Q234&gt;=cad_limite_a,"A",IF(Q234&gt;=cad_limite_b,"B","C"))))))</f>
        <v/>
      </c>
      <c r="S234" s="40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36" t="n"/>
      <c r="B235" s="36" t="n"/>
      <c r="C235" s="37" t="n"/>
      <c r="D235" s="36" t="n"/>
      <c r="E235" s="38">
        <f>IF(D235="","",IFERROR(INDEX(lst_tipo_nome,MATCH(D235,lst_tipo_id,0)),"Tipo não cadastrado em Listas"))</f>
        <v/>
      </c>
      <c r="F235" s="36" t="n"/>
      <c r="G235" s="36" t="n"/>
      <c r="H235" s="36" t="n"/>
      <c r="I235" s="39" t="n"/>
      <c r="J235" s="38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39" t="n"/>
      <c r="L235" s="39" t="n"/>
      <c r="M235" s="39" t="n"/>
      <c r="N235" s="39" t="n"/>
      <c r="O235" s="39" t="n"/>
      <c r="P235" s="38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38">
        <f>IF(P235=5,SUM(K235:O235),"")</f>
        <v/>
      </c>
      <c r="R235" s="38">
        <f>IF(P235="","",IF(P235&lt;5,"Pendente",IF(NOT(cad_limites_ok),"Pendente",IF(K235=3,"A",IF(Q235&gt;=cad_limite_a,"A",IF(Q235&gt;=cad_limite_b,"B","C"))))))</f>
        <v/>
      </c>
      <c r="S235" s="40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36" t="n"/>
      <c r="B236" s="36" t="n"/>
      <c r="C236" s="37" t="n"/>
      <c r="D236" s="36" t="n"/>
      <c r="E236" s="38">
        <f>IF(D236="","",IFERROR(INDEX(lst_tipo_nome,MATCH(D236,lst_tipo_id,0)),"Tipo não cadastrado em Listas"))</f>
        <v/>
      </c>
      <c r="F236" s="36" t="n"/>
      <c r="G236" s="36" t="n"/>
      <c r="H236" s="36" t="n"/>
      <c r="I236" s="39" t="n"/>
      <c r="J236" s="38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39" t="n"/>
      <c r="L236" s="39" t="n"/>
      <c r="M236" s="39" t="n"/>
      <c r="N236" s="39" t="n"/>
      <c r="O236" s="39" t="n"/>
      <c r="P236" s="38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38">
        <f>IF(P236=5,SUM(K236:O236),"")</f>
        <v/>
      </c>
      <c r="R236" s="38">
        <f>IF(P236="","",IF(P236&lt;5,"Pendente",IF(NOT(cad_limites_ok),"Pendente",IF(K236=3,"A",IF(Q236&gt;=cad_limite_a,"A",IF(Q236&gt;=cad_limite_b,"B","C"))))))</f>
        <v/>
      </c>
      <c r="S236" s="40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36" t="n"/>
      <c r="B237" s="36" t="n"/>
      <c r="C237" s="37" t="n"/>
      <c r="D237" s="36" t="n"/>
      <c r="E237" s="38">
        <f>IF(D237="","",IFERROR(INDEX(lst_tipo_nome,MATCH(D237,lst_tipo_id,0)),"Tipo não cadastrado em Listas"))</f>
        <v/>
      </c>
      <c r="F237" s="36" t="n"/>
      <c r="G237" s="36" t="n"/>
      <c r="H237" s="36" t="n"/>
      <c r="I237" s="39" t="n"/>
      <c r="J237" s="38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39" t="n"/>
      <c r="L237" s="39" t="n"/>
      <c r="M237" s="39" t="n"/>
      <c r="N237" s="39" t="n"/>
      <c r="O237" s="39" t="n"/>
      <c r="P237" s="38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38">
        <f>IF(P237=5,SUM(K237:O237),"")</f>
        <v/>
      </c>
      <c r="R237" s="38">
        <f>IF(P237="","",IF(P237&lt;5,"Pendente",IF(NOT(cad_limites_ok),"Pendente",IF(K237=3,"A",IF(Q237&gt;=cad_limite_a,"A",IF(Q237&gt;=cad_limite_b,"B","C"))))))</f>
        <v/>
      </c>
      <c r="S237" s="40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36" t="n"/>
      <c r="B238" s="36" t="n"/>
      <c r="C238" s="37" t="n"/>
      <c r="D238" s="36" t="n"/>
      <c r="E238" s="38">
        <f>IF(D238="","",IFERROR(INDEX(lst_tipo_nome,MATCH(D238,lst_tipo_id,0)),"Tipo não cadastrado em Listas"))</f>
        <v/>
      </c>
      <c r="F238" s="36" t="n"/>
      <c r="G238" s="36" t="n"/>
      <c r="H238" s="36" t="n"/>
      <c r="I238" s="39" t="n"/>
      <c r="J238" s="38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39" t="n"/>
      <c r="L238" s="39" t="n"/>
      <c r="M238" s="39" t="n"/>
      <c r="N238" s="39" t="n"/>
      <c r="O238" s="39" t="n"/>
      <c r="P238" s="38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38">
        <f>IF(P238=5,SUM(K238:O238),"")</f>
        <v/>
      </c>
      <c r="R238" s="38">
        <f>IF(P238="","",IF(P238&lt;5,"Pendente",IF(NOT(cad_limites_ok),"Pendente",IF(K238=3,"A",IF(Q238&gt;=cad_limite_a,"A",IF(Q238&gt;=cad_limite_b,"B","C"))))))</f>
        <v/>
      </c>
      <c r="S238" s="40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36" t="n"/>
      <c r="B239" s="36" t="n"/>
      <c r="C239" s="37" t="n"/>
      <c r="D239" s="36" t="n"/>
      <c r="E239" s="38">
        <f>IF(D239="","",IFERROR(INDEX(lst_tipo_nome,MATCH(D239,lst_tipo_id,0)),"Tipo não cadastrado em Listas"))</f>
        <v/>
      </c>
      <c r="F239" s="36" t="n"/>
      <c r="G239" s="36" t="n"/>
      <c r="H239" s="36" t="n"/>
      <c r="I239" s="39" t="n"/>
      <c r="J239" s="38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39" t="n"/>
      <c r="L239" s="39" t="n"/>
      <c r="M239" s="39" t="n"/>
      <c r="N239" s="39" t="n"/>
      <c r="O239" s="39" t="n"/>
      <c r="P239" s="38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38">
        <f>IF(P239=5,SUM(K239:O239),"")</f>
        <v/>
      </c>
      <c r="R239" s="38">
        <f>IF(P239="","",IF(P239&lt;5,"Pendente",IF(NOT(cad_limites_ok),"Pendente",IF(K239=3,"A",IF(Q239&gt;=cad_limite_a,"A",IF(Q239&gt;=cad_limite_b,"B","C"))))))</f>
        <v/>
      </c>
      <c r="S239" s="40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36" t="n"/>
      <c r="B240" s="36" t="n"/>
      <c r="C240" s="37" t="n"/>
      <c r="D240" s="36" t="n"/>
      <c r="E240" s="38">
        <f>IF(D240="","",IFERROR(INDEX(lst_tipo_nome,MATCH(D240,lst_tipo_id,0)),"Tipo não cadastrado em Listas"))</f>
        <v/>
      </c>
      <c r="F240" s="36" t="n"/>
      <c r="G240" s="36" t="n"/>
      <c r="H240" s="36" t="n"/>
      <c r="I240" s="39" t="n"/>
      <c r="J240" s="38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39" t="n"/>
      <c r="L240" s="39" t="n"/>
      <c r="M240" s="39" t="n"/>
      <c r="N240" s="39" t="n"/>
      <c r="O240" s="39" t="n"/>
      <c r="P240" s="38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38">
        <f>IF(P240=5,SUM(K240:O240),"")</f>
        <v/>
      </c>
      <c r="R240" s="38">
        <f>IF(P240="","",IF(P240&lt;5,"Pendente",IF(NOT(cad_limites_ok),"Pendente",IF(K240=3,"A",IF(Q240&gt;=cad_limite_a,"A",IF(Q240&gt;=cad_limite_b,"B","C"))))))</f>
        <v/>
      </c>
      <c r="S240" s="40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36" t="n"/>
      <c r="B241" s="36" t="n"/>
      <c r="C241" s="37" t="n"/>
      <c r="D241" s="36" t="n"/>
      <c r="E241" s="38">
        <f>IF(D241="","",IFERROR(INDEX(lst_tipo_nome,MATCH(D241,lst_tipo_id,0)),"Tipo não cadastrado em Listas"))</f>
        <v/>
      </c>
      <c r="F241" s="36" t="n"/>
      <c r="G241" s="36" t="n"/>
      <c r="H241" s="36" t="n"/>
      <c r="I241" s="39" t="n"/>
      <c r="J241" s="38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39" t="n"/>
      <c r="L241" s="39" t="n"/>
      <c r="M241" s="39" t="n"/>
      <c r="N241" s="39" t="n"/>
      <c r="O241" s="39" t="n"/>
      <c r="P241" s="38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38">
        <f>IF(P241=5,SUM(K241:O241),"")</f>
        <v/>
      </c>
      <c r="R241" s="38">
        <f>IF(P241="","",IF(P241&lt;5,"Pendente",IF(NOT(cad_limites_ok),"Pendente",IF(K241=3,"A",IF(Q241&gt;=cad_limite_a,"A",IF(Q241&gt;=cad_limite_b,"B","C"))))))</f>
        <v/>
      </c>
      <c r="S241" s="40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36" t="n"/>
      <c r="B242" s="36" t="n"/>
      <c r="C242" s="37" t="n"/>
      <c r="D242" s="36" t="n"/>
      <c r="E242" s="38">
        <f>IF(D242="","",IFERROR(INDEX(lst_tipo_nome,MATCH(D242,lst_tipo_id,0)),"Tipo não cadastrado em Listas"))</f>
        <v/>
      </c>
      <c r="F242" s="36" t="n"/>
      <c r="G242" s="36" t="n"/>
      <c r="H242" s="36" t="n"/>
      <c r="I242" s="39" t="n"/>
      <c r="J242" s="38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39" t="n"/>
      <c r="L242" s="39" t="n"/>
      <c r="M242" s="39" t="n"/>
      <c r="N242" s="39" t="n"/>
      <c r="O242" s="39" t="n"/>
      <c r="P242" s="38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38">
        <f>IF(P242=5,SUM(K242:O242),"")</f>
        <v/>
      </c>
      <c r="R242" s="38">
        <f>IF(P242="","",IF(P242&lt;5,"Pendente",IF(NOT(cad_limites_ok),"Pendente",IF(K242=3,"A",IF(Q242&gt;=cad_limite_a,"A",IF(Q242&gt;=cad_limite_b,"B","C"))))))</f>
        <v/>
      </c>
      <c r="S242" s="40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36" t="n"/>
      <c r="B243" s="36" t="n"/>
      <c r="C243" s="37" t="n"/>
      <c r="D243" s="36" t="n"/>
      <c r="E243" s="38">
        <f>IF(D243="","",IFERROR(INDEX(lst_tipo_nome,MATCH(D243,lst_tipo_id,0)),"Tipo não cadastrado em Listas"))</f>
        <v/>
      </c>
      <c r="F243" s="36" t="n"/>
      <c r="G243" s="36" t="n"/>
      <c r="H243" s="36" t="n"/>
      <c r="I243" s="39" t="n"/>
      <c r="J243" s="38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39" t="n"/>
      <c r="L243" s="39" t="n"/>
      <c r="M243" s="39" t="n"/>
      <c r="N243" s="39" t="n"/>
      <c r="O243" s="39" t="n"/>
      <c r="P243" s="38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38">
        <f>IF(P243=5,SUM(K243:O243),"")</f>
        <v/>
      </c>
      <c r="R243" s="38">
        <f>IF(P243="","",IF(P243&lt;5,"Pendente",IF(NOT(cad_limites_ok),"Pendente",IF(K243=3,"A",IF(Q243&gt;=cad_limite_a,"A",IF(Q243&gt;=cad_limite_b,"B","C"))))))</f>
        <v/>
      </c>
      <c r="S243" s="40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36" t="n"/>
      <c r="B244" s="36" t="n"/>
      <c r="C244" s="37" t="n"/>
      <c r="D244" s="36" t="n"/>
      <c r="E244" s="38">
        <f>IF(D244="","",IFERROR(INDEX(lst_tipo_nome,MATCH(D244,lst_tipo_id,0)),"Tipo não cadastrado em Listas"))</f>
        <v/>
      </c>
      <c r="F244" s="36" t="n"/>
      <c r="G244" s="36" t="n"/>
      <c r="H244" s="36" t="n"/>
      <c r="I244" s="39" t="n"/>
      <c r="J244" s="38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39" t="n"/>
      <c r="L244" s="39" t="n"/>
      <c r="M244" s="39" t="n"/>
      <c r="N244" s="39" t="n"/>
      <c r="O244" s="39" t="n"/>
      <c r="P244" s="38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38">
        <f>IF(P244=5,SUM(K244:O244),"")</f>
        <v/>
      </c>
      <c r="R244" s="38">
        <f>IF(P244="","",IF(P244&lt;5,"Pendente",IF(NOT(cad_limites_ok),"Pendente",IF(K244=3,"A",IF(Q244&gt;=cad_limite_a,"A",IF(Q244&gt;=cad_limite_b,"B","C"))))))</f>
        <v/>
      </c>
      <c r="S244" s="40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36" t="n"/>
      <c r="B245" s="36" t="n"/>
      <c r="C245" s="37" t="n"/>
      <c r="D245" s="36" t="n"/>
      <c r="E245" s="38">
        <f>IF(D245="","",IFERROR(INDEX(lst_tipo_nome,MATCH(D245,lst_tipo_id,0)),"Tipo não cadastrado em Listas"))</f>
        <v/>
      </c>
      <c r="F245" s="36" t="n"/>
      <c r="G245" s="36" t="n"/>
      <c r="H245" s="36" t="n"/>
      <c r="I245" s="39" t="n"/>
      <c r="J245" s="38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39" t="n"/>
      <c r="L245" s="39" t="n"/>
      <c r="M245" s="39" t="n"/>
      <c r="N245" s="39" t="n"/>
      <c r="O245" s="39" t="n"/>
      <c r="P245" s="38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38">
        <f>IF(P245=5,SUM(K245:O245),"")</f>
        <v/>
      </c>
      <c r="R245" s="38">
        <f>IF(P245="","",IF(P245&lt;5,"Pendente",IF(NOT(cad_limites_ok),"Pendente",IF(K245=3,"A",IF(Q245&gt;=cad_limite_a,"A",IF(Q245&gt;=cad_limite_b,"B","C"))))))</f>
        <v/>
      </c>
      <c r="S245" s="40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36" t="n"/>
      <c r="B246" s="36" t="n"/>
      <c r="C246" s="37" t="n"/>
      <c r="D246" s="36" t="n"/>
      <c r="E246" s="38">
        <f>IF(D246="","",IFERROR(INDEX(lst_tipo_nome,MATCH(D246,lst_tipo_id,0)),"Tipo não cadastrado em Listas"))</f>
        <v/>
      </c>
      <c r="F246" s="36" t="n"/>
      <c r="G246" s="36" t="n"/>
      <c r="H246" s="36" t="n"/>
      <c r="I246" s="39" t="n"/>
      <c r="J246" s="38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39" t="n"/>
      <c r="L246" s="39" t="n"/>
      <c r="M246" s="39" t="n"/>
      <c r="N246" s="39" t="n"/>
      <c r="O246" s="39" t="n"/>
      <c r="P246" s="38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38">
        <f>IF(P246=5,SUM(K246:O246),"")</f>
        <v/>
      </c>
      <c r="R246" s="38">
        <f>IF(P246="","",IF(P246&lt;5,"Pendente",IF(NOT(cad_limites_ok),"Pendente",IF(K246=3,"A",IF(Q246&gt;=cad_limite_a,"A",IF(Q246&gt;=cad_limite_b,"B","C"))))))</f>
        <v/>
      </c>
      <c r="S246" s="40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36" t="n"/>
      <c r="B247" s="36" t="n"/>
      <c r="C247" s="37" t="n"/>
      <c r="D247" s="36" t="n"/>
      <c r="E247" s="38">
        <f>IF(D247="","",IFERROR(INDEX(lst_tipo_nome,MATCH(D247,lst_tipo_id,0)),"Tipo não cadastrado em Listas"))</f>
        <v/>
      </c>
      <c r="F247" s="36" t="n"/>
      <c r="G247" s="36" t="n"/>
      <c r="H247" s="36" t="n"/>
      <c r="I247" s="39" t="n"/>
      <c r="J247" s="38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39" t="n"/>
      <c r="L247" s="39" t="n"/>
      <c r="M247" s="39" t="n"/>
      <c r="N247" s="39" t="n"/>
      <c r="O247" s="39" t="n"/>
      <c r="P247" s="38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38">
        <f>IF(P247=5,SUM(K247:O247),"")</f>
        <v/>
      </c>
      <c r="R247" s="38">
        <f>IF(P247="","",IF(P247&lt;5,"Pendente",IF(NOT(cad_limites_ok),"Pendente",IF(K247=3,"A",IF(Q247&gt;=cad_limite_a,"A",IF(Q247&gt;=cad_limite_b,"B","C"))))))</f>
        <v/>
      </c>
      <c r="S247" s="40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36" t="n"/>
      <c r="B248" s="36" t="n"/>
      <c r="C248" s="37" t="n"/>
      <c r="D248" s="36" t="n"/>
      <c r="E248" s="38">
        <f>IF(D248="","",IFERROR(INDEX(lst_tipo_nome,MATCH(D248,lst_tipo_id,0)),"Tipo não cadastrado em Listas"))</f>
        <v/>
      </c>
      <c r="F248" s="36" t="n"/>
      <c r="G248" s="36" t="n"/>
      <c r="H248" s="36" t="n"/>
      <c r="I248" s="39" t="n"/>
      <c r="J248" s="38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39" t="n"/>
      <c r="L248" s="39" t="n"/>
      <c r="M248" s="39" t="n"/>
      <c r="N248" s="39" t="n"/>
      <c r="O248" s="39" t="n"/>
      <c r="P248" s="38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38">
        <f>IF(P248=5,SUM(K248:O248),"")</f>
        <v/>
      </c>
      <c r="R248" s="38">
        <f>IF(P248="","",IF(P248&lt;5,"Pendente",IF(NOT(cad_limites_ok),"Pendente",IF(K248=3,"A",IF(Q248&gt;=cad_limite_a,"A",IF(Q248&gt;=cad_limite_b,"B","C"))))))</f>
        <v/>
      </c>
      <c r="S248" s="40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36" t="n"/>
      <c r="B249" s="36" t="n"/>
      <c r="C249" s="37" t="n"/>
      <c r="D249" s="36" t="n"/>
      <c r="E249" s="38">
        <f>IF(D249="","",IFERROR(INDEX(lst_tipo_nome,MATCH(D249,lst_tipo_id,0)),"Tipo não cadastrado em Listas"))</f>
        <v/>
      </c>
      <c r="F249" s="36" t="n"/>
      <c r="G249" s="36" t="n"/>
      <c r="H249" s="36" t="n"/>
      <c r="I249" s="39" t="n"/>
      <c r="J249" s="38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39" t="n"/>
      <c r="L249" s="39" t="n"/>
      <c r="M249" s="39" t="n"/>
      <c r="N249" s="39" t="n"/>
      <c r="O249" s="39" t="n"/>
      <c r="P249" s="38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38">
        <f>IF(P249=5,SUM(K249:O249),"")</f>
        <v/>
      </c>
      <c r="R249" s="38">
        <f>IF(P249="","",IF(P249&lt;5,"Pendente",IF(NOT(cad_limites_ok),"Pendente",IF(K249=3,"A",IF(Q249&gt;=cad_limite_a,"A",IF(Q249&gt;=cad_limite_b,"B","C"))))))</f>
        <v/>
      </c>
      <c r="S249" s="40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36" t="n"/>
      <c r="B250" s="36" t="n"/>
      <c r="C250" s="37" t="n"/>
      <c r="D250" s="36" t="n"/>
      <c r="E250" s="38">
        <f>IF(D250="","",IFERROR(INDEX(lst_tipo_nome,MATCH(D250,lst_tipo_id,0)),"Tipo não cadastrado em Listas"))</f>
        <v/>
      </c>
      <c r="F250" s="36" t="n"/>
      <c r="G250" s="36" t="n"/>
      <c r="H250" s="36" t="n"/>
      <c r="I250" s="39" t="n"/>
      <c r="J250" s="38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39" t="n"/>
      <c r="L250" s="39" t="n"/>
      <c r="M250" s="39" t="n"/>
      <c r="N250" s="39" t="n"/>
      <c r="O250" s="39" t="n"/>
      <c r="P250" s="38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38">
        <f>IF(P250=5,SUM(K250:O250),"")</f>
        <v/>
      </c>
      <c r="R250" s="38">
        <f>IF(P250="","",IF(P250&lt;5,"Pendente",IF(NOT(cad_limites_ok),"Pendente",IF(K250=3,"A",IF(Q250&gt;=cad_limite_a,"A",IF(Q250&gt;=cad_limite_b,"B","C"))))))</f>
        <v/>
      </c>
      <c r="S250" s="40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36" t="n"/>
      <c r="B251" s="36" t="n"/>
      <c r="C251" s="37" t="n"/>
      <c r="D251" s="36" t="n"/>
      <c r="E251" s="38">
        <f>IF(D251="","",IFERROR(INDEX(lst_tipo_nome,MATCH(D251,lst_tipo_id,0)),"Tipo não cadastrado em Listas"))</f>
        <v/>
      </c>
      <c r="F251" s="36" t="n"/>
      <c r="G251" s="36" t="n"/>
      <c r="H251" s="36" t="n"/>
      <c r="I251" s="39" t="n"/>
      <c r="J251" s="38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39" t="n"/>
      <c r="L251" s="39" t="n"/>
      <c r="M251" s="39" t="n"/>
      <c r="N251" s="39" t="n"/>
      <c r="O251" s="39" t="n"/>
      <c r="P251" s="38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38">
        <f>IF(P251=5,SUM(K251:O251),"")</f>
        <v/>
      </c>
      <c r="R251" s="38">
        <f>IF(P251="","",IF(P251&lt;5,"Pendente",IF(NOT(cad_limites_ok),"Pendente",IF(K251=3,"A",IF(Q251&gt;=cad_limite_a,"A",IF(Q251&gt;=cad_limite_b,"B","C"))))))</f>
        <v/>
      </c>
      <c r="S251" s="40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36" t="n"/>
      <c r="B252" s="36" t="n"/>
      <c r="C252" s="37" t="n"/>
      <c r="D252" s="36" t="n"/>
      <c r="E252" s="38">
        <f>IF(D252="","",IFERROR(INDEX(lst_tipo_nome,MATCH(D252,lst_tipo_id,0)),"Tipo não cadastrado em Listas"))</f>
        <v/>
      </c>
      <c r="F252" s="36" t="n"/>
      <c r="G252" s="36" t="n"/>
      <c r="H252" s="36" t="n"/>
      <c r="I252" s="39" t="n"/>
      <c r="J252" s="38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39" t="n"/>
      <c r="L252" s="39" t="n"/>
      <c r="M252" s="39" t="n"/>
      <c r="N252" s="39" t="n"/>
      <c r="O252" s="39" t="n"/>
      <c r="P252" s="38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38">
        <f>IF(P252=5,SUM(K252:O252),"")</f>
        <v/>
      </c>
      <c r="R252" s="38">
        <f>IF(P252="","",IF(P252&lt;5,"Pendente",IF(NOT(cad_limites_ok),"Pendente",IF(K252=3,"A",IF(Q252&gt;=cad_limite_a,"A",IF(Q252&gt;=cad_limite_b,"B","C"))))))</f>
        <v/>
      </c>
      <c r="S252" s="40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36" t="n"/>
      <c r="B253" s="36" t="n"/>
      <c r="C253" s="37" t="n"/>
      <c r="D253" s="36" t="n"/>
      <c r="E253" s="38">
        <f>IF(D253="","",IFERROR(INDEX(lst_tipo_nome,MATCH(D253,lst_tipo_id,0)),"Tipo não cadastrado em Listas"))</f>
        <v/>
      </c>
      <c r="F253" s="36" t="n"/>
      <c r="G253" s="36" t="n"/>
      <c r="H253" s="36" t="n"/>
      <c r="I253" s="39" t="n"/>
      <c r="J253" s="38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39" t="n"/>
      <c r="L253" s="39" t="n"/>
      <c r="M253" s="39" t="n"/>
      <c r="N253" s="39" t="n"/>
      <c r="O253" s="39" t="n"/>
      <c r="P253" s="38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38">
        <f>IF(P253=5,SUM(K253:O253),"")</f>
        <v/>
      </c>
      <c r="R253" s="38">
        <f>IF(P253="","",IF(P253&lt;5,"Pendente",IF(NOT(cad_limites_ok),"Pendente",IF(K253=3,"A",IF(Q253&gt;=cad_limite_a,"A",IF(Q253&gt;=cad_limite_b,"B","C"))))))</f>
        <v/>
      </c>
      <c r="S253" s="40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36" t="n"/>
      <c r="B254" s="36" t="n"/>
      <c r="C254" s="37" t="n"/>
      <c r="D254" s="36" t="n"/>
      <c r="E254" s="38">
        <f>IF(D254="","",IFERROR(INDEX(lst_tipo_nome,MATCH(D254,lst_tipo_id,0)),"Tipo não cadastrado em Listas"))</f>
        <v/>
      </c>
      <c r="F254" s="36" t="n"/>
      <c r="G254" s="36" t="n"/>
      <c r="H254" s="36" t="n"/>
      <c r="I254" s="39" t="n"/>
      <c r="J254" s="38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39" t="n"/>
      <c r="L254" s="39" t="n"/>
      <c r="M254" s="39" t="n"/>
      <c r="N254" s="39" t="n"/>
      <c r="O254" s="39" t="n"/>
      <c r="P254" s="38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38">
        <f>IF(P254=5,SUM(K254:O254),"")</f>
        <v/>
      </c>
      <c r="R254" s="38">
        <f>IF(P254="","",IF(P254&lt;5,"Pendente",IF(NOT(cad_limites_ok),"Pendente",IF(K254=3,"A",IF(Q254&gt;=cad_limite_a,"A",IF(Q254&gt;=cad_limite_b,"B","C"))))))</f>
        <v/>
      </c>
      <c r="S254" s="40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36" t="n"/>
      <c r="B255" s="36" t="n"/>
      <c r="C255" s="37" t="n"/>
      <c r="D255" s="36" t="n"/>
      <c r="E255" s="38">
        <f>IF(D255="","",IFERROR(INDEX(lst_tipo_nome,MATCH(D255,lst_tipo_id,0)),"Tipo não cadastrado em Listas"))</f>
        <v/>
      </c>
      <c r="F255" s="36" t="n"/>
      <c r="G255" s="36" t="n"/>
      <c r="H255" s="36" t="n"/>
      <c r="I255" s="39" t="n"/>
      <c r="J255" s="38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39" t="n"/>
      <c r="L255" s="39" t="n"/>
      <c r="M255" s="39" t="n"/>
      <c r="N255" s="39" t="n"/>
      <c r="O255" s="39" t="n"/>
      <c r="P255" s="38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38">
        <f>IF(P255=5,SUM(K255:O255),"")</f>
        <v/>
      </c>
      <c r="R255" s="38">
        <f>IF(P255="","",IF(P255&lt;5,"Pendente",IF(NOT(cad_limites_ok),"Pendente",IF(K255=3,"A",IF(Q255&gt;=cad_limite_a,"A",IF(Q255&gt;=cad_limite_b,"B","C"))))))</f>
        <v/>
      </c>
      <c r="S255" s="40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36" t="n"/>
      <c r="B256" s="36" t="n"/>
      <c r="C256" s="37" t="n"/>
      <c r="D256" s="36" t="n"/>
      <c r="E256" s="38">
        <f>IF(D256="","",IFERROR(INDEX(lst_tipo_nome,MATCH(D256,lst_tipo_id,0)),"Tipo não cadastrado em Listas"))</f>
        <v/>
      </c>
      <c r="F256" s="36" t="n"/>
      <c r="G256" s="36" t="n"/>
      <c r="H256" s="36" t="n"/>
      <c r="I256" s="39" t="n"/>
      <c r="J256" s="38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39" t="n"/>
      <c r="L256" s="39" t="n"/>
      <c r="M256" s="39" t="n"/>
      <c r="N256" s="39" t="n"/>
      <c r="O256" s="39" t="n"/>
      <c r="P256" s="38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38">
        <f>IF(P256=5,SUM(K256:O256),"")</f>
        <v/>
      </c>
      <c r="R256" s="38">
        <f>IF(P256="","",IF(P256&lt;5,"Pendente",IF(NOT(cad_limites_ok),"Pendente",IF(K256=3,"A",IF(Q256&gt;=cad_limite_a,"A",IF(Q256&gt;=cad_limite_b,"B","C"))))))</f>
        <v/>
      </c>
      <c r="S256" s="40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36" t="n"/>
      <c r="B257" s="36" t="n"/>
      <c r="C257" s="37" t="n"/>
      <c r="D257" s="36" t="n"/>
      <c r="E257" s="38">
        <f>IF(D257="","",IFERROR(INDEX(lst_tipo_nome,MATCH(D257,lst_tipo_id,0)),"Tipo não cadastrado em Listas"))</f>
        <v/>
      </c>
      <c r="F257" s="36" t="n"/>
      <c r="G257" s="36" t="n"/>
      <c r="H257" s="36" t="n"/>
      <c r="I257" s="39" t="n"/>
      <c r="J257" s="38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39" t="n"/>
      <c r="L257" s="39" t="n"/>
      <c r="M257" s="39" t="n"/>
      <c r="N257" s="39" t="n"/>
      <c r="O257" s="39" t="n"/>
      <c r="P257" s="38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38">
        <f>IF(P257=5,SUM(K257:O257),"")</f>
        <v/>
      </c>
      <c r="R257" s="38">
        <f>IF(P257="","",IF(P257&lt;5,"Pendente",IF(NOT(cad_limites_ok),"Pendente",IF(K257=3,"A",IF(Q257&gt;=cad_limite_a,"A",IF(Q257&gt;=cad_limite_b,"B","C"))))))</f>
        <v/>
      </c>
      <c r="S257" s="40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36" t="n"/>
      <c r="B258" s="36" t="n"/>
      <c r="C258" s="37" t="n"/>
      <c r="D258" s="36" t="n"/>
      <c r="E258" s="38">
        <f>IF(D258="","",IFERROR(INDEX(lst_tipo_nome,MATCH(D258,lst_tipo_id,0)),"Tipo não cadastrado em Listas"))</f>
        <v/>
      </c>
      <c r="F258" s="36" t="n"/>
      <c r="G258" s="36" t="n"/>
      <c r="H258" s="36" t="n"/>
      <c r="I258" s="39" t="n"/>
      <c r="J258" s="38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39" t="n"/>
      <c r="L258" s="39" t="n"/>
      <c r="M258" s="39" t="n"/>
      <c r="N258" s="39" t="n"/>
      <c r="O258" s="39" t="n"/>
      <c r="P258" s="38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38">
        <f>IF(P258=5,SUM(K258:O258),"")</f>
        <v/>
      </c>
      <c r="R258" s="38">
        <f>IF(P258="","",IF(P258&lt;5,"Pendente",IF(NOT(cad_limites_ok),"Pendente",IF(K258=3,"A",IF(Q258&gt;=cad_limite_a,"A",IF(Q258&gt;=cad_limite_b,"B","C"))))))</f>
        <v/>
      </c>
      <c r="S258" s="40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36" t="n"/>
      <c r="B259" s="36" t="n"/>
      <c r="C259" s="37" t="n"/>
      <c r="D259" s="36" t="n"/>
      <c r="E259" s="38">
        <f>IF(D259="","",IFERROR(INDEX(lst_tipo_nome,MATCH(D259,lst_tipo_id,0)),"Tipo não cadastrado em Listas"))</f>
        <v/>
      </c>
      <c r="F259" s="36" t="n"/>
      <c r="G259" s="36" t="n"/>
      <c r="H259" s="36" t="n"/>
      <c r="I259" s="39" t="n"/>
      <c r="J259" s="38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39" t="n"/>
      <c r="L259" s="39" t="n"/>
      <c r="M259" s="39" t="n"/>
      <c r="N259" s="39" t="n"/>
      <c r="O259" s="39" t="n"/>
      <c r="P259" s="38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38">
        <f>IF(P259=5,SUM(K259:O259),"")</f>
        <v/>
      </c>
      <c r="R259" s="38">
        <f>IF(P259="","",IF(P259&lt;5,"Pendente",IF(NOT(cad_limites_ok),"Pendente",IF(K259=3,"A",IF(Q259&gt;=cad_limite_a,"A",IF(Q259&gt;=cad_limite_b,"B","C"))))))</f>
        <v/>
      </c>
      <c r="S259" s="40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36" t="n"/>
      <c r="B260" s="36" t="n"/>
      <c r="C260" s="37" t="n"/>
      <c r="D260" s="36" t="n"/>
      <c r="E260" s="38">
        <f>IF(D260="","",IFERROR(INDEX(lst_tipo_nome,MATCH(D260,lst_tipo_id,0)),"Tipo não cadastrado em Listas"))</f>
        <v/>
      </c>
      <c r="F260" s="36" t="n"/>
      <c r="G260" s="36" t="n"/>
      <c r="H260" s="36" t="n"/>
      <c r="I260" s="39" t="n"/>
      <c r="J260" s="38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39" t="n"/>
      <c r="L260" s="39" t="n"/>
      <c r="M260" s="39" t="n"/>
      <c r="N260" s="39" t="n"/>
      <c r="O260" s="39" t="n"/>
      <c r="P260" s="38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38">
        <f>IF(P260=5,SUM(K260:O260),"")</f>
        <v/>
      </c>
      <c r="R260" s="38">
        <f>IF(P260="","",IF(P260&lt;5,"Pendente",IF(NOT(cad_limites_ok),"Pendente",IF(K260=3,"A",IF(Q260&gt;=cad_limite_a,"A",IF(Q260&gt;=cad_limite_b,"B","C"))))))</f>
        <v/>
      </c>
      <c r="S260" s="40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36" t="n"/>
      <c r="B261" s="36" t="n"/>
      <c r="C261" s="37" t="n"/>
      <c r="D261" s="36" t="n"/>
      <c r="E261" s="38">
        <f>IF(D261="","",IFERROR(INDEX(lst_tipo_nome,MATCH(D261,lst_tipo_id,0)),"Tipo não cadastrado em Listas"))</f>
        <v/>
      </c>
      <c r="F261" s="36" t="n"/>
      <c r="G261" s="36" t="n"/>
      <c r="H261" s="36" t="n"/>
      <c r="I261" s="39" t="n"/>
      <c r="J261" s="38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39" t="n"/>
      <c r="L261" s="39" t="n"/>
      <c r="M261" s="39" t="n"/>
      <c r="N261" s="39" t="n"/>
      <c r="O261" s="39" t="n"/>
      <c r="P261" s="38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38">
        <f>IF(P261=5,SUM(K261:O261),"")</f>
        <v/>
      </c>
      <c r="R261" s="38">
        <f>IF(P261="","",IF(P261&lt;5,"Pendente",IF(NOT(cad_limites_ok),"Pendente",IF(K261=3,"A",IF(Q261&gt;=cad_limite_a,"A",IF(Q261&gt;=cad_limite_b,"B","C"))))))</f>
        <v/>
      </c>
      <c r="S261" s="40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36" t="n"/>
      <c r="B262" s="36" t="n"/>
      <c r="C262" s="37" t="n"/>
      <c r="D262" s="36" t="n"/>
      <c r="E262" s="38">
        <f>IF(D262="","",IFERROR(INDEX(lst_tipo_nome,MATCH(D262,lst_tipo_id,0)),"Tipo não cadastrado em Listas"))</f>
        <v/>
      </c>
      <c r="F262" s="36" t="n"/>
      <c r="G262" s="36" t="n"/>
      <c r="H262" s="36" t="n"/>
      <c r="I262" s="39" t="n"/>
      <c r="J262" s="38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39" t="n"/>
      <c r="L262" s="39" t="n"/>
      <c r="M262" s="39" t="n"/>
      <c r="N262" s="39" t="n"/>
      <c r="O262" s="39" t="n"/>
      <c r="P262" s="38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38">
        <f>IF(P262=5,SUM(K262:O262),"")</f>
        <v/>
      </c>
      <c r="R262" s="38">
        <f>IF(P262="","",IF(P262&lt;5,"Pendente",IF(NOT(cad_limites_ok),"Pendente",IF(K262=3,"A",IF(Q262&gt;=cad_limite_a,"A",IF(Q262&gt;=cad_limite_b,"B","C"))))))</f>
        <v/>
      </c>
      <c r="S262" s="40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36" t="n"/>
      <c r="B263" s="36" t="n"/>
      <c r="C263" s="37" t="n"/>
      <c r="D263" s="36" t="n"/>
      <c r="E263" s="38">
        <f>IF(D263="","",IFERROR(INDEX(lst_tipo_nome,MATCH(D263,lst_tipo_id,0)),"Tipo não cadastrado em Listas"))</f>
        <v/>
      </c>
      <c r="F263" s="36" t="n"/>
      <c r="G263" s="36" t="n"/>
      <c r="H263" s="36" t="n"/>
      <c r="I263" s="39" t="n"/>
      <c r="J263" s="38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39" t="n"/>
      <c r="L263" s="39" t="n"/>
      <c r="M263" s="39" t="n"/>
      <c r="N263" s="39" t="n"/>
      <c r="O263" s="39" t="n"/>
      <c r="P263" s="38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38">
        <f>IF(P263=5,SUM(K263:O263),"")</f>
        <v/>
      </c>
      <c r="R263" s="38">
        <f>IF(P263="","",IF(P263&lt;5,"Pendente",IF(NOT(cad_limites_ok),"Pendente",IF(K263=3,"A",IF(Q263&gt;=cad_limite_a,"A",IF(Q263&gt;=cad_limite_b,"B","C"))))))</f>
        <v/>
      </c>
      <c r="S263" s="40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36" t="n"/>
      <c r="B264" s="36" t="n"/>
      <c r="C264" s="37" t="n"/>
      <c r="D264" s="36" t="n"/>
      <c r="E264" s="38">
        <f>IF(D264="","",IFERROR(INDEX(lst_tipo_nome,MATCH(D264,lst_tipo_id,0)),"Tipo não cadastrado em Listas"))</f>
        <v/>
      </c>
      <c r="F264" s="36" t="n"/>
      <c r="G264" s="36" t="n"/>
      <c r="H264" s="36" t="n"/>
      <c r="I264" s="39" t="n"/>
      <c r="J264" s="38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39" t="n"/>
      <c r="L264" s="39" t="n"/>
      <c r="M264" s="39" t="n"/>
      <c r="N264" s="39" t="n"/>
      <c r="O264" s="39" t="n"/>
      <c r="P264" s="38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38">
        <f>IF(P264=5,SUM(K264:O264),"")</f>
        <v/>
      </c>
      <c r="R264" s="38">
        <f>IF(P264="","",IF(P264&lt;5,"Pendente",IF(NOT(cad_limites_ok),"Pendente",IF(K264=3,"A",IF(Q264&gt;=cad_limite_a,"A",IF(Q264&gt;=cad_limite_b,"B","C"))))))</f>
        <v/>
      </c>
      <c r="S264" s="40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36" t="n"/>
      <c r="B265" s="36" t="n"/>
      <c r="C265" s="37" t="n"/>
      <c r="D265" s="36" t="n"/>
      <c r="E265" s="38">
        <f>IF(D265="","",IFERROR(INDEX(lst_tipo_nome,MATCH(D265,lst_tipo_id,0)),"Tipo não cadastrado em Listas"))</f>
        <v/>
      </c>
      <c r="F265" s="36" t="n"/>
      <c r="G265" s="36" t="n"/>
      <c r="H265" s="36" t="n"/>
      <c r="I265" s="39" t="n"/>
      <c r="J265" s="38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39" t="n"/>
      <c r="L265" s="39" t="n"/>
      <c r="M265" s="39" t="n"/>
      <c r="N265" s="39" t="n"/>
      <c r="O265" s="39" t="n"/>
      <c r="P265" s="38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38">
        <f>IF(P265=5,SUM(K265:O265),"")</f>
        <v/>
      </c>
      <c r="R265" s="38">
        <f>IF(P265="","",IF(P265&lt;5,"Pendente",IF(NOT(cad_limites_ok),"Pendente",IF(K265=3,"A",IF(Q265&gt;=cad_limite_a,"A",IF(Q265&gt;=cad_limite_b,"B","C"))))))</f>
        <v/>
      </c>
      <c r="S265" s="40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36" t="n"/>
      <c r="B266" s="36" t="n"/>
      <c r="C266" s="37" t="n"/>
      <c r="D266" s="36" t="n"/>
      <c r="E266" s="38">
        <f>IF(D266="","",IFERROR(INDEX(lst_tipo_nome,MATCH(D266,lst_tipo_id,0)),"Tipo não cadastrado em Listas"))</f>
        <v/>
      </c>
      <c r="F266" s="36" t="n"/>
      <c r="G266" s="36" t="n"/>
      <c r="H266" s="36" t="n"/>
      <c r="I266" s="39" t="n"/>
      <c r="J266" s="38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39" t="n"/>
      <c r="L266" s="39" t="n"/>
      <c r="M266" s="39" t="n"/>
      <c r="N266" s="39" t="n"/>
      <c r="O266" s="39" t="n"/>
      <c r="P266" s="38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38">
        <f>IF(P266=5,SUM(K266:O266),"")</f>
        <v/>
      </c>
      <c r="R266" s="38">
        <f>IF(P266="","",IF(P266&lt;5,"Pendente",IF(NOT(cad_limites_ok),"Pendente",IF(K266=3,"A",IF(Q266&gt;=cad_limite_a,"A",IF(Q266&gt;=cad_limite_b,"B","C"))))))</f>
        <v/>
      </c>
      <c r="S266" s="40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36" t="n"/>
      <c r="B267" s="36" t="n"/>
      <c r="C267" s="37" t="n"/>
      <c r="D267" s="36" t="n"/>
      <c r="E267" s="38">
        <f>IF(D267="","",IFERROR(INDEX(lst_tipo_nome,MATCH(D267,lst_tipo_id,0)),"Tipo não cadastrado em Listas"))</f>
        <v/>
      </c>
      <c r="F267" s="36" t="n"/>
      <c r="G267" s="36" t="n"/>
      <c r="H267" s="36" t="n"/>
      <c r="I267" s="39" t="n"/>
      <c r="J267" s="38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39" t="n"/>
      <c r="L267" s="39" t="n"/>
      <c r="M267" s="39" t="n"/>
      <c r="N267" s="39" t="n"/>
      <c r="O267" s="39" t="n"/>
      <c r="P267" s="38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38">
        <f>IF(P267=5,SUM(K267:O267),"")</f>
        <v/>
      </c>
      <c r="R267" s="38">
        <f>IF(P267="","",IF(P267&lt;5,"Pendente",IF(NOT(cad_limites_ok),"Pendente",IF(K267=3,"A",IF(Q267&gt;=cad_limite_a,"A",IF(Q267&gt;=cad_limite_b,"B","C"))))))</f>
        <v/>
      </c>
      <c r="S267" s="40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36" t="n"/>
      <c r="B268" s="36" t="n"/>
      <c r="C268" s="37" t="n"/>
      <c r="D268" s="36" t="n"/>
      <c r="E268" s="38">
        <f>IF(D268="","",IFERROR(INDEX(lst_tipo_nome,MATCH(D268,lst_tipo_id,0)),"Tipo não cadastrado em Listas"))</f>
        <v/>
      </c>
      <c r="F268" s="36" t="n"/>
      <c r="G268" s="36" t="n"/>
      <c r="H268" s="36" t="n"/>
      <c r="I268" s="39" t="n"/>
      <c r="J268" s="38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39" t="n"/>
      <c r="L268" s="39" t="n"/>
      <c r="M268" s="39" t="n"/>
      <c r="N268" s="39" t="n"/>
      <c r="O268" s="39" t="n"/>
      <c r="P268" s="38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38">
        <f>IF(P268=5,SUM(K268:O268),"")</f>
        <v/>
      </c>
      <c r="R268" s="38">
        <f>IF(P268="","",IF(P268&lt;5,"Pendente",IF(NOT(cad_limites_ok),"Pendente",IF(K268=3,"A",IF(Q268&gt;=cad_limite_a,"A",IF(Q268&gt;=cad_limite_b,"B","C"))))))</f>
        <v/>
      </c>
      <c r="S268" s="40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36" t="n"/>
      <c r="B269" s="36" t="n"/>
      <c r="C269" s="37" t="n"/>
      <c r="D269" s="36" t="n"/>
      <c r="E269" s="38">
        <f>IF(D269="","",IFERROR(INDEX(lst_tipo_nome,MATCH(D269,lst_tipo_id,0)),"Tipo não cadastrado em Listas"))</f>
        <v/>
      </c>
      <c r="F269" s="36" t="n"/>
      <c r="G269" s="36" t="n"/>
      <c r="H269" s="36" t="n"/>
      <c r="I269" s="39" t="n"/>
      <c r="J269" s="38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39" t="n"/>
      <c r="L269" s="39" t="n"/>
      <c r="M269" s="39" t="n"/>
      <c r="N269" s="39" t="n"/>
      <c r="O269" s="39" t="n"/>
      <c r="P269" s="38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38">
        <f>IF(P269=5,SUM(K269:O269),"")</f>
        <v/>
      </c>
      <c r="R269" s="38">
        <f>IF(P269="","",IF(P269&lt;5,"Pendente",IF(NOT(cad_limites_ok),"Pendente",IF(K269=3,"A",IF(Q269&gt;=cad_limite_a,"A",IF(Q269&gt;=cad_limite_b,"B","C"))))))</f>
        <v/>
      </c>
      <c r="S269" s="40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36" t="n"/>
      <c r="B270" s="36" t="n"/>
      <c r="C270" s="37" t="n"/>
      <c r="D270" s="36" t="n"/>
      <c r="E270" s="38">
        <f>IF(D270="","",IFERROR(INDEX(lst_tipo_nome,MATCH(D270,lst_tipo_id,0)),"Tipo não cadastrado em Listas"))</f>
        <v/>
      </c>
      <c r="F270" s="36" t="n"/>
      <c r="G270" s="36" t="n"/>
      <c r="H270" s="36" t="n"/>
      <c r="I270" s="39" t="n"/>
      <c r="J270" s="38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39" t="n"/>
      <c r="L270" s="39" t="n"/>
      <c r="M270" s="39" t="n"/>
      <c r="N270" s="39" t="n"/>
      <c r="O270" s="39" t="n"/>
      <c r="P270" s="38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38">
        <f>IF(P270=5,SUM(K270:O270),"")</f>
        <v/>
      </c>
      <c r="R270" s="38">
        <f>IF(P270="","",IF(P270&lt;5,"Pendente",IF(NOT(cad_limites_ok),"Pendente",IF(K270=3,"A",IF(Q270&gt;=cad_limite_a,"A",IF(Q270&gt;=cad_limite_b,"B","C"))))))</f>
        <v/>
      </c>
      <c r="S270" s="40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36" t="n"/>
      <c r="B271" s="36" t="n"/>
      <c r="C271" s="37" t="n"/>
      <c r="D271" s="36" t="n"/>
      <c r="E271" s="38">
        <f>IF(D271="","",IFERROR(INDEX(lst_tipo_nome,MATCH(D271,lst_tipo_id,0)),"Tipo não cadastrado em Listas"))</f>
        <v/>
      </c>
      <c r="F271" s="36" t="n"/>
      <c r="G271" s="36" t="n"/>
      <c r="H271" s="36" t="n"/>
      <c r="I271" s="39" t="n"/>
      <c r="J271" s="38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39" t="n"/>
      <c r="L271" s="39" t="n"/>
      <c r="M271" s="39" t="n"/>
      <c r="N271" s="39" t="n"/>
      <c r="O271" s="39" t="n"/>
      <c r="P271" s="38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38">
        <f>IF(P271=5,SUM(K271:O271),"")</f>
        <v/>
      </c>
      <c r="R271" s="38">
        <f>IF(P271="","",IF(P271&lt;5,"Pendente",IF(NOT(cad_limites_ok),"Pendente",IF(K271=3,"A",IF(Q271&gt;=cad_limite_a,"A",IF(Q271&gt;=cad_limite_b,"B","C"))))))</f>
        <v/>
      </c>
      <c r="S271" s="40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36" t="n"/>
      <c r="B272" s="36" t="n"/>
      <c r="C272" s="37" t="n"/>
      <c r="D272" s="36" t="n"/>
      <c r="E272" s="38">
        <f>IF(D272="","",IFERROR(INDEX(lst_tipo_nome,MATCH(D272,lst_tipo_id,0)),"Tipo não cadastrado em Listas"))</f>
        <v/>
      </c>
      <c r="F272" s="36" t="n"/>
      <c r="G272" s="36" t="n"/>
      <c r="H272" s="36" t="n"/>
      <c r="I272" s="39" t="n"/>
      <c r="J272" s="38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39" t="n"/>
      <c r="L272" s="39" t="n"/>
      <c r="M272" s="39" t="n"/>
      <c r="N272" s="39" t="n"/>
      <c r="O272" s="39" t="n"/>
      <c r="P272" s="38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38">
        <f>IF(P272=5,SUM(K272:O272),"")</f>
        <v/>
      </c>
      <c r="R272" s="38">
        <f>IF(P272="","",IF(P272&lt;5,"Pendente",IF(NOT(cad_limites_ok),"Pendente",IF(K272=3,"A",IF(Q272&gt;=cad_limite_a,"A",IF(Q272&gt;=cad_limite_b,"B","C"))))))</f>
        <v/>
      </c>
      <c r="S272" s="40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36" t="n"/>
      <c r="B273" s="36" t="n"/>
      <c r="C273" s="37" t="n"/>
      <c r="D273" s="36" t="n"/>
      <c r="E273" s="38">
        <f>IF(D273="","",IFERROR(INDEX(lst_tipo_nome,MATCH(D273,lst_tipo_id,0)),"Tipo não cadastrado em Listas"))</f>
        <v/>
      </c>
      <c r="F273" s="36" t="n"/>
      <c r="G273" s="36" t="n"/>
      <c r="H273" s="36" t="n"/>
      <c r="I273" s="39" t="n"/>
      <c r="J273" s="38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39" t="n"/>
      <c r="L273" s="39" t="n"/>
      <c r="M273" s="39" t="n"/>
      <c r="N273" s="39" t="n"/>
      <c r="O273" s="39" t="n"/>
      <c r="P273" s="38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38">
        <f>IF(P273=5,SUM(K273:O273),"")</f>
        <v/>
      </c>
      <c r="R273" s="38">
        <f>IF(P273="","",IF(P273&lt;5,"Pendente",IF(NOT(cad_limites_ok),"Pendente",IF(K273=3,"A",IF(Q273&gt;=cad_limite_a,"A",IF(Q273&gt;=cad_limite_b,"B","C"))))))</f>
        <v/>
      </c>
      <c r="S273" s="40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36" t="n"/>
      <c r="B274" s="36" t="n"/>
      <c r="C274" s="37" t="n"/>
      <c r="D274" s="36" t="n"/>
      <c r="E274" s="38">
        <f>IF(D274="","",IFERROR(INDEX(lst_tipo_nome,MATCH(D274,lst_tipo_id,0)),"Tipo não cadastrado em Listas"))</f>
        <v/>
      </c>
      <c r="F274" s="36" t="n"/>
      <c r="G274" s="36" t="n"/>
      <c r="H274" s="36" t="n"/>
      <c r="I274" s="39" t="n"/>
      <c r="J274" s="38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39" t="n"/>
      <c r="L274" s="39" t="n"/>
      <c r="M274" s="39" t="n"/>
      <c r="N274" s="39" t="n"/>
      <c r="O274" s="39" t="n"/>
      <c r="P274" s="38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38">
        <f>IF(P274=5,SUM(K274:O274),"")</f>
        <v/>
      </c>
      <c r="R274" s="38">
        <f>IF(P274="","",IF(P274&lt;5,"Pendente",IF(NOT(cad_limites_ok),"Pendente",IF(K274=3,"A",IF(Q274&gt;=cad_limite_a,"A",IF(Q274&gt;=cad_limite_b,"B","C"))))))</f>
        <v/>
      </c>
      <c r="S274" s="40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36" t="n"/>
      <c r="B275" s="36" t="n"/>
      <c r="C275" s="37" t="n"/>
      <c r="D275" s="36" t="n"/>
      <c r="E275" s="38">
        <f>IF(D275="","",IFERROR(INDEX(lst_tipo_nome,MATCH(D275,lst_tipo_id,0)),"Tipo não cadastrado em Listas"))</f>
        <v/>
      </c>
      <c r="F275" s="36" t="n"/>
      <c r="G275" s="36" t="n"/>
      <c r="H275" s="36" t="n"/>
      <c r="I275" s="39" t="n"/>
      <c r="J275" s="38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39" t="n"/>
      <c r="L275" s="39" t="n"/>
      <c r="M275" s="39" t="n"/>
      <c r="N275" s="39" t="n"/>
      <c r="O275" s="39" t="n"/>
      <c r="P275" s="38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38">
        <f>IF(P275=5,SUM(K275:O275),"")</f>
        <v/>
      </c>
      <c r="R275" s="38">
        <f>IF(P275="","",IF(P275&lt;5,"Pendente",IF(NOT(cad_limites_ok),"Pendente",IF(K275=3,"A",IF(Q275&gt;=cad_limite_a,"A",IF(Q275&gt;=cad_limite_b,"B","C"))))))</f>
        <v/>
      </c>
      <c r="S275" s="40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36" t="n"/>
      <c r="B276" s="36" t="n"/>
      <c r="C276" s="37" t="n"/>
      <c r="D276" s="36" t="n"/>
      <c r="E276" s="38">
        <f>IF(D276="","",IFERROR(INDEX(lst_tipo_nome,MATCH(D276,lst_tipo_id,0)),"Tipo não cadastrado em Listas"))</f>
        <v/>
      </c>
      <c r="F276" s="36" t="n"/>
      <c r="G276" s="36" t="n"/>
      <c r="H276" s="36" t="n"/>
      <c r="I276" s="39" t="n"/>
      <c r="J276" s="38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39" t="n"/>
      <c r="L276" s="39" t="n"/>
      <c r="M276" s="39" t="n"/>
      <c r="N276" s="39" t="n"/>
      <c r="O276" s="39" t="n"/>
      <c r="P276" s="38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38">
        <f>IF(P276=5,SUM(K276:O276),"")</f>
        <v/>
      </c>
      <c r="R276" s="38">
        <f>IF(P276="","",IF(P276&lt;5,"Pendente",IF(NOT(cad_limites_ok),"Pendente",IF(K276=3,"A",IF(Q276&gt;=cad_limite_a,"A",IF(Q276&gt;=cad_limite_b,"B","C"))))))</f>
        <v/>
      </c>
      <c r="S276" s="40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36" t="n"/>
      <c r="B277" s="36" t="n"/>
      <c r="C277" s="37" t="n"/>
      <c r="D277" s="36" t="n"/>
      <c r="E277" s="38">
        <f>IF(D277="","",IFERROR(INDEX(lst_tipo_nome,MATCH(D277,lst_tipo_id,0)),"Tipo não cadastrado em Listas"))</f>
        <v/>
      </c>
      <c r="F277" s="36" t="n"/>
      <c r="G277" s="36" t="n"/>
      <c r="H277" s="36" t="n"/>
      <c r="I277" s="39" t="n"/>
      <c r="J277" s="38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39" t="n"/>
      <c r="L277" s="39" t="n"/>
      <c r="M277" s="39" t="n"/>
      <c r="N277" s="39" t="n"/>
      <c r="O277" s="39" t="n"/>
      <c r="P277" s="38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38">
        <f>IF(P277=5,SUM(K277:O277),"")</f>
        <v/>
      </c>
      <c r="R277" s="38">
        <f>IF(P277="","",IF(P277&lt;5,"Pendente",IF(NOT(cad_limites_ok),"Pendente",IF(K277=3,"A",IF(Q277&gt;=cad_limite_a,"A",IF(Q277&gt;=cad_limite_b,"B","C"))))))</f>
        <v/>
      </c>
      <c r="S277" s="40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36" t="n"/>
      <c r="B278" s="36" t="n"/>
      <c r="C278" s="37" t="n"/>
      <c r="D278" s="36" t="n"/>
      <c r="E278" s="38">
        <f>IF(D278="","",IFERROR(INDEX(lst_tipo_nome,MATCH(D278,lst_tipo_id,0)),"Tipo não cadastrado em Listas"))</f>
        <v/>
      </c>
      <c r="F278" s="36" t="n"/>
      <c r="G278" s="36" t="n"/>
      <c r="H278" s="36" t="n"/>
      <c r="I278" s="39" t="n"/>
      <c r="J278" s="38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39" t="n"/>
      <c r="L278" s="39" t="n"/>
      <c r="M278" s="39" t="n"/>
      <c r="N278" s="39" t="n"/>
      <c r="O278" s="39" t="n"/>
      <c r="P278" s="38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38">
        <f>IF(P278=5,SUM(K278:O278),"")</f>
        <v/>
      </c>
      <c r="R278" s="38">
        <f>IF(P278="","",IF(P278&lt;5,"Pendente",IF(NOT(cad_limites_ok),"Pendente",IF(K278=3,"A",IF(Q278&gt;=cad_limite_a,"A",IF(Q278&gt;=cad_limite_b,"B","C"))))))</f>
        <v/>
      </c>
      <c r="S278" s="40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36" t="n"/>
      <c r="B279" s="36" t="n"/>
      <c r="C279" s="37" t="n"/>
      <c r="D279" s="36" t="n"/>
      <c r="E279" s="38">
        <f>IF(D279="","",IFERROR(INDEX(lst_tipo_nome,MATCH(D279,lst_tipo_id,0)),"Tipo não cadastrado em Listas"))</f>
        <v/>
      </c>
      <c r="F279" s="36" t="n"/>
      <c r="G279" s="36" t="n"/>
      <c r="H279" s="36" t="n"/>
      <c r="I279" s="39" t="n"/>
      <c r="J279" s="38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39" t="n"/>
      <c r="L279" s="39" t="n"/>
      <c r="M279" s="39" t="n"/>
      <c r="N279" s="39" t="n"/>
      <c r="O279" s="39" t="n"/>
      <c r="P279" s="38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38">
        <f>IF(P279=5,SUM(K279:O279),"")</f>
        <v/>
      </c>
      <c r="R279" s="38">
        <f>IF(P279="","",IF(P279&lt;5,"Pendente",IF(NOT(cad_limites_ok),"Pendente",IF(K279=3,"A",IF(Q279&gt;=cad_limite_a,"A",IF(Q279&gt;=cad_limite_b,"B","C"))))))</f>
        <v/>
      </c>
      <c r="S279" s="40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36" t="n"/>
      <c r="B280" s="36" t="n"/>
      <c r="C280" s="37" t="n"/>
      <c r="D280" s="36" t="n"/>
      <c r="E280" s="38">
        <f>IF(D280="","",IFERROR(INDEX(lst_tipo_nome,MATCH(D280,lst_tipo_id,0)),"Tipo não cadastrado em Listas"))</f>
        <v/>
      </c>
      <c r="F280" s="36" t="n"/>
      <c r="G280" s="36" t="n"/>
      <c r="H280" s="36" t="n"/>
      <c r="I280" s="39" t="n"/>
      <c r="J280" s="38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39" t="n"/>
      <c r="L280" s="39" t="n"/>
      <c r="M280" s="39" t="n"/>
      <c r="N280" s="39" t="n"/>
      <c r="O280" s="39" t="n"/>
      <c r="P280" s="38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38">
        <f>IF(P280=5,SUM(K280:O280),"")</f>
        <v/>
      </c>
      <c r="R280" s="38">
        <f>IF(P280="","",IF(P280&lt;5,"Pendente",IF(NOT(cad_limites_ok),"Pendente",IF(K280=3,"A",IF(Q280&gt;=cad_limite_a,"A",IF(Q280&gt;=cad_limite_b,"B","C"))))))</f>
        <v/>
      </c>
      <c r="S280" s="40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36" t="n"/>
      <c r="B281" s="36" t="n"/>
      <c r="C281" s="37" t="n"/>
      <c r="D281" s="36" t="n"/>
      <c r="E281" s="38">
        <f>IF(D281="","",IFERROR(INDEX(lst_tipo_nome,MATCH(D281,lst_tipo_id,0)),"Tipo não cadastrado em Listas"))</f>
        <v/>
      </c>
      <c r="F281" s="36" t="n"/>
      <c r="G281" s="36" t="n"/>
      <c r="H281" s="36" t="n"/>
      <c r="I281" s="39" t="n"/>
      <c r="J281" s="38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39" t="n"/>
      <c r="L281" s="39" t="n"/>
      <c r="M281" s="39" t="n"/>
      <c r="N281" s="39" t="n"/>
      <c r="O281" s="39" t="n"/>
      <c r="P281" s="38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38">
        <f>IF(P281=5,SUM(K281:O281),"")</f>
        <v/>
      </c>
      <c r="R281" s="38">
        <f>IF(P281="","",IF(P281&lt;5,"Pendente",IF(NOT(cad_limites_ok),"Pendente",IF(K281=3,"A",IF(Q281&gt;=cad_limite_a,"A",IF(Q281&gt;=cad_limite_b,"B","C"))))))</f>
        <v/>
      </c>
      <c r="S281" s="40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36" t="n"/>
      <c r="B282" s="36" t="n"/>
      <c r="C282" s="37" t="n"/>
      <c r="D282" s="36" t="n"/>
      <c r="E282" s="38">
        <f>IF(D282="","",IFERROR(INDEX(lst_tipo_nome,MATCH(D282,lst_tipo_id,0)),"Tipo não cadastrado em Listas"))</f>
        <v/>
      </c>
      <c r="F282" s="36" t="n"/>
      <c r="G282" s="36" t="n"/>
      <c r="H282" s="36" t="n"/>
      <c r="I282" s="39" t="n"/>
      <c r="J282" s="38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39" t="n"/>
      <c r="L282" s="39" t="n"/>
      <c r="M282" s="39" t="n"/>
      <c r="N282" s="39" t="n"/>
      <c r="O282" s="39" t="n"/>
      <c r="P282" s="38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38">
        <f>IF(P282=5,SUM(K282:O282),"")</f>
        <v/>
      </c>
      <c r="R282" s="38">
        <f>IF(P282="","",IF(P282&lt;5,"Pendente",IF(NOT(cad_limites_ok),"Pendente",IF(K282=3,"A",IF(Q282&gt;=cad_limite_a,"A",IF(Q282&gt;=cad_limite_b,"B","C"))))))</f>
        <v/>
      </c>
      <c r="S282" s="40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36" t="n"/>
      <c r="B283" s="36" t="n"/>
      <c r="C283" s="37" t="n"/>
      <c r="D283" s="36" t="n"/>
      <c r="E283" s="38">
        <f>IF(D283="","",IFERROR(INDEX(lst_tipo_nome,MATCH(D283,lst_tipo_id,0)),"Tipo não cadastrado em Listas"))</f>
        <v/>
      </c>
      <c r="F283" s="36" t="n"/>
      <c r="G283" s="36" t="n"/>
      <c r="H283" s="36" t="n"/>
      <c r="I283" s="39" t="n"/>
      <c r="J283" s="38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39" t="n"/>
      <c r="L283" s="39" t="n"/>
      <c r="M283" s="39" t="n"/>
      <c r="N283" s="39" t="n"/>
      <c r="O283" s="39" t="n"/>
      <c r="P283" s="38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38">
        <f>IF(P283=5,SUM(K283:O283),"")</f>
        <v/>
      </c>
      <c r="R283" s="38">
        <f>IF(P283="","",IF(P283&lt;5,"Pendente",IF(NOT(cad_limites_ok),"Pendente",IF(K283=3,"A",IF(Q283&gt;=cad_limite_a,"A",IF(Q283&gt;=cad_limite_b,"B","C"))))))</f>
        <v/>
      </c>
      <c r="S283" s="40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36" t="n"/>
      <c r="B284" s="36" t="n"/>
      <c r="C284" s="37" t="n"/>
      <c r="D284" s="36" t="n"/>
      <c r="E284" s="38">
        <f>IF(D284="","",IFERROR(INDEX(lst_tipo_nome,MATCH(D284,lst_tipo_id,0)),"Tipo não cadastrado em Listas"))</f>
        <v/>
      </c>
      <c r="F284" s="36" t="n"/>
      <c r="G284" s="36" t="n"/>
      <c r="H284" s="36" t="n"/>
      <c r="I284" s="39" t="n"/>
      <c r="J284" s="38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39" t="n"/>
      <c r="L284" s="39" t="n"/>
      <c r="M284" s="39" t="n"/>
      <c r="N284" s="39" t="n"/>
      <c r="O284" s="39" t="n"/>
      <c r="P284" s="38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38">
        <f>IF(P284=5,SUM(K284:O284),"")</f>
        <v/>
      </c>
      <c r="R284" s="38">
        <f>IF(P284="","",IF(P284&lt;5,"Pendente",IF(NOT(cad_limites_ok),"Pendente",IF(K284=3,"A",IF(Q284&gt;=cad_limite_a,"A",IF(Q284&gt;=cad_limite_b,"B","C"))))))</f>
        <v/>
      </c>
      <c r="S284" s="40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36" t="n"/>
      <c r="B285" s="36" t="n"/>
      <c r="C285" s="37" t="n"/>
      <c r="D285" s="36" t="n"/>
      <c r="E285" s="38">
        <f>IF(D285="","",IFERROR(INDEX(lst_tipo_nome,MATCH(D285,lst_tipo_id,0)),"Tipo não cadastrado em Listas"))</f>
        <v/>
      </c>
      <c r="F285" s="36" t="n"/>
      <c r="G285" s="36" t="n"/>
      <c r="H285" s="36" t="n"/>
      <c r="I285" s="39" t="n"/>
      <c r="J285" s="38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39" t="n"/>
      <c r="L285" s="39" t="n"/>
      <c r="M285" s="39" t="n"/>
      <c r="N285" s="39" t="n"/>
      <c r="O285" s="39" t="n"/>
      <c r="P285" s="38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38">
        <f>IF(P285=5,SUM(K285:O285),"")</f>
        <v/>
      </c>
      <c r="R285" s="38">
        <f>IF(P285="","",IF(P285&lt;5,"Pendente",IF(NOT(cad_limites_ok),"Pendente",IF(K285=3,"A",IF(Q285&gt;=cad_limite_a,"A",IF(Q285&gt;=cad_limite_b,"B","C"))))))</f>
        <v/>
      </c>
      <c r="S285" s="40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36" t="n"/>
      <c r="B286" s="36" t="n"/>
      <c r="C286" s="37" t="n"/>
      <c r="D286" s="36" t="n"/>
      <c r="E286" s="38">
        <f>IF(D286="","",IFERROR(INDEX(lst_tipo_nome,MATCH(D286,lst_tipo_id,0)),"Tipo não cadastrado em Listas"))</f>
        <v/>
      </c>
      <c r="F286" s="36" t="n"/>
      <c r="G286" s="36" t="n"/>
      <c r="H286" s="36" t="n"/>
      <c r="I286" s="39" t="n"/>
      <c r="J286" s="38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39" t="n"/>
      <c r="L286" s="39" t="n"/>
      <c r="M286" s="39" t="n"/>
      <c r="N286" s="39" t="n"/>
      <c r="O286" s="39" t="n"/>
      <c r="P286" s="38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38">
        <f>IF(P286=5,SUM(K286:O286),"")</f>
        <v/>
      </c>
      <c r="R286" s="38">
        <f>IF(P286="","",IF(P286&lt;5,"Pendente",IF(NOT(cad_limites_ok),"Pendente",IF(K286=3,"A",IF(Q286&gt;=cad_limite_a,"A",IF(Q286&gt;=cad_limite_b,"B","C"))))))</f>
        <v/>
      </c>
      <c r="S286" s="40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36" t="n"/>
      <c r="B287" s="36" t="n"/>
      <c r="C287" s="37" t="n"/>
      <c r="D287" s="36" t="n"/>
      <c r="E287" s="38">
        <f>IF(D287="","",IFERROR(INDEX(lst_tipo_nome,MATCH(D287,lst_tipo_id,0)),"Tipo não cadastrado em Listas"))</f>
        <v/>
      </c>
      <c r="F287" s="36" t="n"/>
      <c r="G287" s="36" t="n"/>
      <c r="H287" s="36" t="n"/>
      <c r="I287" s="39" t="n"/>
      <c r="J287" s="38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39" t="n"/>
      <c r="L287" s="39" t="n"/>
      <c r="M287" s="39" t="n"/>
      <c r="N287" s="39" t="n"/>
      <c r="O287" s="39" t="n"/>
      <c r="P287" s="38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38">
        <f>IF(P287=5,SUM(K287:O287),"")</f>
        <v/>
      </c>
      <c r="R287" s="38">
        <f>IF(P287="","",IF(P287&lt;5,"Pendente",IF(NOT(cad_limites_ok),"Pendente",IF(K287=3,"A",IF(Q287&gt;=cad_limite_a,"A",IF(Q287&gt;=cad_limite_b,"B","C"))))))</f>
        <v/>
      </c>
      <c r="S287" s="40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36" t="n"/>
      <c r="B288" s="36" t="n"/>
      <c r="C288" s="37" t="n"/>
      <c r="D288" s="36" t="n"/>
      <c r="E288" s="38">
        <f>IF(D288="","",IFERROR(INDEX(lst_tipo_nome,MATCH(D288,lst_tipo_id,0)),"Tipo não cadastrado em Listas"))</f>
        <v/>
      </c>
      <c r="F288" s="36" t="n"/>
      <c r="G288" s="36" t="n"/>
      <c r="H288" s="36" t="n"/>
      <c r="I288" s="39" t="n"/>
      <c r="J288" s="38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39" t="n"/>
      <c r="L288" s="39" t="n"/>
      <c r="M288" s="39" t="n"/>
      <c r="N288" s="39" t="n"/>
      <c r="O288" s="39" t="n"/>
      <c r="P288" s="38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38">
        <f>IF(P288=5,SUM(K288:O288),"")</f>
        <v/>
      </c>
      <c r="R288" s="38">
        <f>IF(P288="","",IF(P288&lt;5,"Pendente",IF(NOT(cad_limites_ok),"Pendente",IF(K288=3,"A",IF(Q288&gt;=cad_limite_a,"A",IF(Q288&gt;=cad_limite_b,"B","C"))))))</f>
        <v/>
      </c>
      <c r="S288" s="40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36" t="n"/>
      <c r="B289" s="36" t="n"/>
      <c r="C289" s="37" t="n"/>
      <c r="D289" s="36" t="n"/>
      <c r="E289" s="38">
        <f>IF(D289="","",IFERROR(INDEX(lst_tipo_nome,MATCH(D289,lst_tipo_id,0)),"Tipo não cadastrado em Listas"))</f>
        <v/>
      </c>
      <c r="F289" s="36" t="n"/>
      <c r="G289" s="36" t="n"/>
      <c r="H289" s="36" t="n"/>
      <c r="I289" s="39" t="n"/>
      <c r="J289" s="38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39" t="n"/>
      <c r="L289" s="39" t="n"/>
      <c r="M289" s="39" t="n"/>
      <c r="N289" s="39" t="n"/>
      <c r="O289" s="39" t="n"/>
      <c r="P289" s="38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38">
        <f>IF(P289=5,SUM(K289:O289),"")</f>
        <v/>
      </c>
      <c r="R289" s="38">
        <f>IF(P289="","",IF(P289&lt;5,"Pendente",IF(NOT(cad_limites_ok),"Pendente",IF(K289=3,"A",IF(Q289&gt;=cad_limite_a,"A",IF(Q289&gt;=cad_limite_b,"B","C"))))))</f>
        <v/>
      </c>
      <c r="S289" s="40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36" t="n"/>
      <c r="B290" s="36" t="n"/>
      <c r="C290" s="37" t="n"/>
      <c r="D290" s="36" t="n"/>
      <c r="E290" s="38">
        <f>IF(D290="","",IFERROR(INDEX(lst_tipo_nome,MATCH(D290,lst_tipo_id,0)),"Tipo não cadastrado em Listas"))</f>
        <v/>
      </c>
      <c r="F290" s="36" t="n"/>
      <c r="G290" s="36" t="n"/>
      <c r="H290" s="36" t="n"/>
      <c r="I290" s="39" t="n"/>
      <c r="J290" s="38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39" t="n"/>
      <c r="L290" s="39" t="n"/>
      <c r="M290" s="39" t="n"/>
      <c r="N290" s="39" t="n"/>
      <c r="O290" s="39" t="n"/>
      <c r="P290" s="38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38">
        <f>IF(P290=5,SUM(K290:O290),"")</f>
        <v/>
      </c>
      <c r="R290" s="38">
        <f>IF(P290="","",IF(P290&lt;5,"Pendente",IF(NOT(cad_limites_ok),"Pendente",IF(K290=3,"A",IF(Q290&gt;=cad_limite_a,"A",IF(Q290&gt;=cad_limite_b,"B","C"))))))</f>
        <v/>
      </c>
      <c r="S290" s="40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36" t="n"/>
      <c r="B291" s="36" t="n"/>
      <c r="C291" s="37" t="n"/>
      <c r="D291" s="36" t="n"/>
      <c r="E291" s="38">
        <f>IF(D291="","",IFERROR(INDEX(lst_tipo_nome,MATCH(D291,lst_tipo_id,0)),"Tipo não cadastrado em Listas"))</f>
        <v/>
      </c>
      <c r="F291" s="36" t="n"/>
      <c r="G291" s="36" t="n"/>
      <c r="H291" s="36" t="n"/>
      <c r="I291" s="39" t="n"/>
      <c r="J291" s="38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39" t="n"/>
      <c r="L291" s="39" t="n"/>
      <c r="M291" s="39" t="n"/>
      <c r="N291" s="39" t="n"/>
      <c r="O291" s="39" t="n"/>
      <c r="P291" s="38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38">
        <f>IF(P291=5,SUM(K291:O291),"")</f>
        <v/>
      </c>
      <c r="R291" s="38">
        <f>IF(P291="","",IF(P291&lt;5,"Pendente",IF(NOT(cad_limites_ok),"Pendente",IF(K291=3,"A",IF(Q291&gt;=cad_limite_a,"A",IF(Q291&gt;=cad_limite_b,"B","C"))))))</f>
        <v/>
      </c>
      <c r="S291" s="40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36" t="n"/>
      <c r="B292" s="36" t="n"/>
      <c r="C292" s="37" t="n"/>
      <c r="D292" s="36" t="n"/>
      <c r="E292" s="38">
        <f>IF(D292="","",IFERROR(INDEX(lst_tipo_nome,MATCH(D292,lst_tipo_id,0)),"Tipo não cadastrado em Listas"))</f>
        <v/>
      </c>
      <c r="F292" s="36" t="n"/>
      <c r="G292" s="36" t="n"/>
      <c r="H292" s="36" t="n"/>
      <c r="I292" s="39" t="n"/>
      <c r="J292" s="38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39" t="n"/>
      <c r="L292" s="39" t="n"/>
      <c r="M292" s="39" t="n"/>
      <c r="N292" s="39" t="n"/>
      <c r="O292" s="39" t="n"/>
      <c r="P292" s="38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38">
        <f>IF(P292=5,SUM(K292:O292),"")</f>
        <v/>
      </c>
      <c r="R292" s="38">
        <f>IF(P292="","",IF(P292&lt;5,"Pendente",IF(NOT(cad_limites_ok),"Pendente",IF(K292=3,"A",IF(Q292&gt;=cad_limite_a,"A",IF(Q292&gt;=cad_limite_b,"B","C"))))))</f>
        <v/>
      </c>
      <c r="S292" s="40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36" t="n"/>
      <c r="B293" s="36" t="n"/>
      <c r="C293" s="37" t="n"/>
      <c r="D293" s="36" t="n"/>
      <c r="E293" s="38">
        <f>IF(D293="","",IFERROR(INDEX(lst_tipo_nome,MATCH(D293,lst_tipo_id,0)),"Tipo não cadastrado em Listas"))</f>
        <v/>
      </c>
      <c r="F293" s="36" t="n"/>
      <c r="G293" s="36" t="n"/>
      <c r="H293" s="36" t="n"/>
      <c r="I293" s="39" t="n"/>
      <c r="J293" s="38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39" t="n"/>
      <c r="L293" s="39" t="n"/>
      <c r="M293" s="39" t="n"/>
      <c r="N293" s="39" t="n"/>
      <c r="O293" s="39" t="n"/>
      <c r="P293" s="38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38">
        <f>IF(P293=5,SUM(K293:O293),"")</f>
        <v/>
      </c>
      <c r="R293" s="38">
        <f>IF(P293="","",IF(P293&lt;5,"Pendente",IF(NOT(cad_limites_ok),"Pendente",IF(K293=3,"A",IF(Q293&gt;=cad_limite_a,"A",IF(Q293&gt;=cad_limite_b,"B","C"))))))</f>
        <v/>
      </c>
      <c r="S293" s="40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36" t="n"/>
      <c r="B294" s="36" t="n"/>
      <c r="C294" s="37" t="n"/>
      <c r="D294" s="36" t="n"/>
      <c r="E294" s="38">
        <f>IF(D294="","",IFERROR(INDEX(lst_tipo_nome,MATCH(D294,lst_tipo_id,0)),"Tipo não cadastrado em Listas"))</f>
        <v/>
      </c>
      <c r="F294" s="36" t="n"/>
      <c r="G294" s="36" t="n"/>
      <c r="H294" s="36" t="n"/>
      <c r="I294" s="39" t="n"/>
      <c r="J294" s="38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39" t="n"/>
      <c r="L294" s="39" t="n"/>
      <c r="M294" s="39" t="n"/>
      <c r="N294" s="39" t="n"/>
      <c r="O294" s="39" t="n"/>
      <c r="P294" s="38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38">
        <f>IF(P294=5,SUM(K294:O294),"")</f>
        <v/>
      </c>
      <c r="R294" s="38">
        <f>IF(P294="","",IF(P294&lt;5,"Pendente",IF(NOT(cad_limites_ok),"Pendente",IF(K294=3,"A",IF(Q294&gt;=cad_limite_a,"A",IF(Q294&gt;=cad_limite_b,"B","C"))))))</f>
        <v/>
      </c>
      <c r="S294" s="40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36" t="n"/>
      <c r="B295" s="36" t="n"/>
      <c r="C295" s="37" t="n"/>
      <c r="D295" s="36" t="n"/>
      <c r="E295" s="38">
        <f>IF(D295="","",IFERROR(INDEX(lst_tipo_nome,MATCH(D295,lst_tipo_id,0)),"Tipo não cadastrado em Listas"))</f>
        <v/>
      </c>
      <c r="F295" s="36" t="n"/>
      <c r="G295" s="36" t="n"/>
      <c r="H295" s="36" t="n"/>
      <c r="I295" s="39" t="n"/>
      <c r="J295" s="38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39" t="n"/>
      <c r="L295" s="39" t="n"/>
      <c r="M295" s="39" t="n"/>
      <c r="N295" s="39" t="n"/>
      <c r="O295" s="39" t="n"/>
      <c r="P295" s="38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38">
        <f>IF(P295=5,SUM(K295:O295),"")</f>
        <v/>
      </c>
      <c r="R295" s="38">
        <f>IF(P295="","",IF(P295&lt;5,"Pendente",IF(NOT(cad_limites_ok),"Pendente",IF(K295=3,"A",IF(Q295&gt;=cad_limite_a,"A",IF(Q295&gt;=cad_limite_b,"B","C"))))))</f>
        <v/>
      </c>
      <c r="S295" s="40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36" t="n"/>
      <c r="B296" s="36" t="n"/>
      <c r="C296" s="37" t="n"/>
      <c r="D296" s="36" t="n"/>
      <c r="E296" s="38">
        <f>IF(D296="","",IFERROR(INDEX(lst_tipo_nome,MATCH(D296,lst_tipo_id,0)),"Tipo não cadastrado em Listas"))</f>
        <v/>
      </c>
      <c r="F296" s="36" t="n"/>
      <c r="G296" s="36" t="n"/>
      <c r="H296" s="36" t="n"/>
      <c r="I296" s="39" t="n"/>
      <c r="J296" s="38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39" t="n"/>
      <c r="L296" s="39" t="n"/>
      <c r="M296" s="39" t="n"/>
      <c r="N296" s="39" t="n"/>
      <c r="O296" s="39" t="n"/>
      <c r="P296" s="38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38">
        <f>IF(P296=5,SUM(K296:O296),"")</f>
        <v/>
      </c>
      <c r="R296" s="38">
        <f>IF(P296="","",IF(P296&lt;5,"Pendente",IF(NOT(cad_limites_ok),"Pendente",IF(K296=3,"A",IF(Q296&gt;=cad_limite_a,"A",IF(Q296&gt;=cad_limite_b,"B","C"))))))</f>
        <v/>
      </c>
      <c r="S296" s="40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36" t="n"/>
      <c r="B297" s="36" t="n"/>
      <c r="C297" s="37" t="n"/>
      <c r="D297" s="36" t="n"/>
      <c r="E297" s="38">
        <f>IF(D297="","",IFERROR(INDEX(lst_tipo_nome,MATCH(D297,lst_tipo_id,0)),"Tipo não cadastrado em Listas"))</f>
        <v/>
      </c>
      <c r="F297" s="36" t="n"/>
      <c r="G297" s="36" t="n"/>
      <c r="H297" s="36" t="n"/>
      <c r="I297" s="39" t="n"/>
      <c r="J297" s="38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39" t="n"/>
      <c r="L297" s="39" t="n"/>
      <c r="M297" s="39" t="n"/>
      <c r="N297" s="39" t="n"/>
      <c r="O297" s="39" t="n"/>
      <c r="P297" s="38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38">
        <f>IF(P297=5,SUM(K297:O297),"")</f>
        <v/>
      </c>
      <c r="R297" s="38">
        <f>IF(P297="","",IF(P297&lt;5,"Pendente",IF(NOT(cad_limites_ok),"Pendente",IF(K297=3,"A",IF(Q297&gt;=cad_limite_a,"A",IF(Q297&gt;=cad_limite_b,"B","C"))))))</f>
        <v/>
      </c>
      <c r="S297" s="40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36" t="n"/>
      <c r="B298" s="36" t="n"/>
      <c r="C298" s="37" t="n"/>
      <c r="D298" s="36" t="n"/>
      <c r="E298" s="38">
        <f>IF(D298="","",IFERROR(INDEX(lst_tipo_nome,MATCH(D298,lst_tipo_id,0)),"Tipo não cadastrado em Listas"))</f>
        <v/>
      </c>
      <c r="F298" s="36" t="n"/>
      <c r="G298" s="36" t="n"/>
      <c r="H298" s="36" t="n"/>
      <c r="I298" s="39" t="n"/>
      <c r="J298" s="38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39" t="n"/>
      <c r="L298" s="39" t="n"/>
      <c r="M298" s="39" t="n"/>
      <c r="N298" s="39" t="n"/>
      <c r="O298" s="39" t="n"/>
      <c r="P298" s="38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38">
        <f>IF(P298=5,SUM(K298:O298),"")</f>
        <v/>
      </c>
      <c r="R298" s="38">
        <f>IF(P298="","",IF(P298&lt;5,"Pendente",IF(NOT(cad_limites_ok),"Pendente",IF(K298=3,"A",IF(Q298&gt;=cad_limite_a,"A",IF(Q298&gt;=cad_limite_b,"B","C"))))))</f>
        <v/>
      </c>
      <c r="S298" s="40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36" t="n"/>
      <c r="B299" s="36" t="n"/>
      <c r="C299" s="37" t="n"/>
      <c r="D299" s="36" t="n"/>
      <c r="E299" s="38">
        <f>IF(D299="","",IFERROR(INDEX(lst_tipo_nome,MATCH(D299,lst_tipo_id,0)),"Tipo não cadastrado em Listas"))</f>
        <v/>
      </c>
      <c r="F299" s="36" t="n"/>
      <c r="G299" s="36" t="n"/>
      <c r="H299" s="36" t="n"/>
      <c r="I299" s="39" t="n"/>
      <c r="J299" s="38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39" t="n"/>
      <c r="L299" s="39" t="n"/>
      <c r="M299" s="39" t="n"/>
      <c r="N299" s="39" t="n"/>
      <c r="O299" s="39" t="n"/>
      <c r="P299" s="38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38">
        <f>IF(P299=5,SUM(K299:O299),"")</f>
        <v/>
      </c>
      <c r="R299" s="38">
        <f>IF(P299="","",IF(P299&lt;5,"Pendente",IF(NOT(cad_limites_ok),"Pendente",IF(K299=3,"A",IF(Q299&gt;=cad_limite_a,"A",IF(Q299&gt;=cad_limite_b,"B","C"))))))</f>
        <v/>
      </c>
      <c r="S299" s="40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36" t="n"/>
      <c r="B300" s="36" t="n"/>
      <c r="C300" s="37" t="n"/>
      <c r="D300" s="36" t="n"/>
      <c r="E300" s="38">
        <f>IF(D300="","",IFERROR(INDEX(lst_tipo_nome,MATCH(D300,lst_tipo_id,0)),"Tipo não cadastrado em Listas"))</f>
        <v/>
      </c>
      <c r="F300" s="36" t="n"/>
      <c r="G300" s="36" t="n"/>
      <c r="H300" s="36" t="n"/>
      <c r="I300" s="39" t="n"/>
      <c r="J300" s="38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39" t="n"/>
      <c r="L300" s="39" t="n"/>
      <c r="M300" s="39" t="n"/>
      <c r="N300" s="39" t="n"/>
      <c r="O300" s="39" t="n"/>
      <c r="P300" s="38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38">
        <f>IF(P300=5,SUM(K300:O300),"")</f>
        <v/>
      </c>
      <c r="R300" s="38">
        <f>IF(P300="","",IF(P300&lt;5,"Pendente",IF(NOT(cad_limites_ok),"Pendente",IF(K300=3,"A",IF(Q300&gt;=cad_limite_a,"A",IF(Q300&gt;=cad_limite_b,"B","C"))))))</f>
        <v/>
      </c>
      <c r="S300" s="40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36" t="n"/>
      <c r="B301" s="36" t="n"/>
      <c r="C301" s="37" t="n"/>
      <c r="D301" s="36" t="n"/>
      <c r="E301" s="38">
        <f>IF(D301="","",IFERROR(INDEX(lst_tipo_nome,MATCH(D301,lst_tipo_id,0)),"Tipo não cadastrado em Listas"))</f>
        <v/>
      </c>
      <c r="F301" s="36" t="n"/>
      <c r="G301" s="36" t="n"/>
      <c r="H301" s="36" t="n"/>
      <c r="I301" s="39" t="n"/>
      <c r="J301" s="38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39" t="n"/>
      <c r="L301" s="39" t="n"/>
      <c r="M301" s="39" t="n"/>
      <c r="N301" s="39" t="n"/>
      <c r="O301" s="39" t="n"/>
      <c r="P301" s="38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38">
        <f>IF(P301=5,SUM(K301:O301),"")</f>
        <v/>
      </c>
      <c r="R301" s="38">
        <f>IF(P301="","",IF(P301&lt;5,"Pendente",IF(NOT(cad_limites_ok),"Pendente",IF(K301=3,"A",IF(Q301&gt;=cad_limite_a,"A",IF(Q301&gt;=cad_limite_b,"B","C"))))))</f>
        <v/>
      </c>
      <c r="S301" s="40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36" t="n"/>
      <c r="B302" s="36" t="n"/>
      <c r="C302" s="37" t="n"/>
      <c r="D302" s="36" t="n"/>
      <c r="E302" s="38">
        <f>IF(D302="","",IFERROR(INDEX(lst_tipo_nome,MATCH(D302,lst_tipo_id,0)),"Tipo não cadastrado em Listas"))</f>
        <v/>
      </c>
      <c r="F302" s="36" t="n"/>
      <c r="G302" s="36" t="n"/>
      <c r="H302" s="36" t="n"/>
      <c r="I302" s="39" t="n"/>
      <c r="J302" s="38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39" t="n"/>
      <c r="L302" s="39" t="n"/>
      <c r="M302" s="39" t="n"/>
      <c r="N302" s="39" t="n"/>
      <c r="O302" s="39" t="n"/>
      <c r="P302" s="38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38">
        <f>IF(P302=5,SUM(K302:O302),"")</f>
        <v/>
      </c>
      <c r="R302" s="38">
        <f>IF(P302="","",IF(P302&lt;5,"Pendente",IF(NOT(cad_limites_ok),"Pendente",IF(K302=3,"A",IF(Q302&gt;=cad_limite_a,"A",IF(Q302&gt;=cad_limite_b,"B","C"))))))</f>
        <v/>
      </c>
      <c r="S302" s="40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36" t="n"/>
      <c r="B303" s="36" t="n"/>
      <c r="C303" s="37" t="n"/>
      <c r="D303" s="36" t="n"/>
      <c r="E303" s="38">
        <f>IF(D303="","",IFERROR(INDEX(lst_tipo_nome,MATCH(D303,lst_tipo_id,0)),"Tipo não cadastrado em Listas"))</f>
        <v/>
      </c>
      <c r="F303" s="36" t="n"/>
      <c r="G303" s="36" t="n"/>
      <c r="H303" s="36" t="n"/>
      <c r="I303" s="39" t="n"/>
      <c r="J303" s="38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39" t="n"/>
      <c r="L303" s="39" t="n"/>
      <c r="M303" s="39" t="n"/>
      <c r="N303" s="39" t="n"/>
      <c r="O303" s="39" t="n"/>
      <c r="P303" s="38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38">
        <f>IF(P303=5,SUM(K303:O303),"")</f>
        <v/>
      </c>
      <c r="R303" s="38">
        <f>IF(P303="","",IF(P303&lt;5,"Pendente",IF(NOT(cad_limites_ok),"Pendente",IF(K303=3,"A",IF(Q303&gt;=cad_limite_a,"A",IF(Q303&gt;=cad_limite_b,"B","C"))))))</f>
        <v/>
      </c>
      <c r="S303" s="40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36" t="n"/>
      <c r="B304" s="36" t="n"/>
      <c r="C304" s="37" t="n"/>
      <c r="D304" s="36" t="n"/>
      <c r="E304" s="38">
        <f>IF(D304="","",IFERROR(INDEX(lst_tipo_nome,MATCH(D304,lst_tipo_id,0)),"Tipo não cadastrado em Listas"))</f>
        <v/>
      </c>
      <c r="F304" s="36" t="n"/>
      <c r="G304" s="36" t="n"/>
      <c r="H304" s="36" t="n"/>
      <c r="I304" s="39" t="n"/>
      <c r="J304" s="38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39" t="n"/>
      <c r="L304" s="39" t="n"/>
      <c r="M304" s="39" t="n"/>
      <c r="N304" s="39" t="n"/>
      <c r="O304" s="39" t="n"/>
      <c r="P304" s="38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38">
        <f>IF(P304=5,SUM(K304:O304),"")</f>
        <v/>
      </c>
      <c r="R304" s="38">
        <f>IF(P304="","",IF(P304&lt;5,"Pendente",IF(NOT(cad_limites_ok),"Pendente",IF(K304=3,"A",IF(Q304&gt;=cad_limite_a,"A",IF(Q304&gt;=cad_limite_b,"B","C"))))))</f>
        <v/>
      </c>
      <c r="S304" s="40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36" t="n"/>
      <c r="B305" s="36" t="n"/>
      <c r="C305" s="37" t="n"/>
      <c r="D305" s="36" t="n"/>
      <c r="E305" s="38">
        <f>IF(D305="","",IFERROR(INDEX(lst_tipo_nome,MATCH(D305,lst_tipo_id,0)),"Tipo não cadastrado em Listas"))</f>
        <v/>
      </c>
      <c r="F305" s="36" t="n"/>
      <c r="G305" s="36" t="n"/>
      <c r="H305" s="36" t="n"/>
      <c r="I305" s="39" t="n"/>
      <c r="J305" s="38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39" t="n"/>
      <c r="L305" s="39" t="n"/>
      <c r="M305" s="39" t="n"/>
      <c r="N305" s="39" t="n"/>
      <c r="O305" s="39" t="n"/>
      <c r="P305" s="38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38">
        <f>IF(P305=5,SUM(K305:O305),"")</f>
        <v/>
      </c>
      <c r="R305" s="38">
        <f>IF(P305="","",IF(P305&lt;5,"Pendente",IF(NOT(cad_limites_ok),"Pendente",IF(K305=3,"A",IF(Q305&gt;=cad_limite_a,"A",IF(Q305&gt;=cad_limite_b,"B","C"))))))</f>
        <v/>
      </c>
      <c r="S305" s="40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36" t="n"/>
      <c r="B306" s="36" t="n"/>
      <c r="C306" s="37" t="n"/>
      <c r="D306" s="36" t="n"/>
      <c r="E306" s="38">
        <f>IF(D306="","",IFERROR(INDEX(lst_tipo_nome,MATCH(D306,lst_tipo_id,0)),"Tipo não cadastrado em Listas"))</f>
        <v/>
      </c>
      <c r="F306" s="36" t="n"/>
      <c r="G306" s="36" t="n"/>
      <c r="H306" s="36" t="n"/>
      <c r="I306" s="39" t="n"/>
      <c r="J306" s="38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39" t="n"/>
      <c r="L306" s="39" t="n"/>
      <c r="M306" s="39" t="n"/>
      <c r="N306" s="39" t="n"/>
      <c r="O306" s="39" t="n"/>
      <c r="P306" s="38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38">
        <f>IF(P306=5,SUM(K306:O306),"")</f>
        <v/>
      </c>
      <c r="R306" s="38">
        <f>IF(P306="","",IF(P306&lt;5,"Pendente",IF(NOT(cad_limites_ok),"Pendente",IF(K306=3,"A",IF(Q306&gt;=cad_limite_a,"A",IF(Q306&gt;=cad_limite_b,"B","C"))))))</f>
        <v/>
      </c>
      <c r="S306" s="40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5">
    <mergeCell ref="A4:B4"/>
    <mergeCell ref="C4:G4"/>
    <mergeCell ref="C2:G2"/>
    <mergeCell ref="C1:S1"/>
    <mergeCell ref="C3:G3"/>
  </mergeCells>
  <conditionalFormatting sqref="A4">
    <cfRule type="expression" priority="1" dxfId="0">
      <formula>LEFT(A4,7)="ATENÇÃO"</formula>
    </cfRule>
  </conditionalFormatting>
  <conditionalFormatting sqref="J7:J306">
    <cfRule type="expression" priority="2" dxfId="0" stopIfTrue="1">
      <formula>LEFT(J7,4)="ERRO"</formula>
    </cfRule>
    <cfRule type="expression" priority="3" dxfId="1" stopIfTrue="1">
      <formula>OR(LEFT(J7,8)="Pendente",LEFT(J7,9)="Verificar",LEFT(J7,9)="Duplicada",LEFT(J7,7)="Tarefa ",LEFT(J7,13)="Fora do plano",LEFT(J7,8)="Previsão",LEFT(J7,11)="Sem vínculo",LEFT(J7,14)="Não verificado",LEFT(J7,13)="Não informado",LEFT(J7,7)="Informe")</formula>
    </cfRule>
    <cfRule type="expression" priority="4" dxfId="2" stopIfTrue="1">
      <formula>OR(LEFT(J7,2)="OK",LEFT(J7,10)="Verificado",J7="Vinculada",J7="No plano atual",J7="Informado")</formula>
    </cfRule>
    <cfRule type="expression" priority="18" dxfId="3">
      <formula>$A7&lt;&gt;""</formula>
    </cfRule>
  </conditionalFormatting>
  <conditionalFormatting sqref="K7:K306">
    <cfRule type="colorScale" priority="5">
      <colorScale>
        <cfvo type="num" val="1"/>
        <cfvo type="num" val="2"/>
        <cfvo type="num" val="3"/>
        <color rgb="00E3F0E6"/>
        <color rgb="00FFF0C7"/>
        <color rgb="00F6CDD3"/>
      </colorScale>
    </cfRule>
  </conditionalFormatting>
  <conditionalFormatting sqref="L7:L306">
    <cfRule type="colorScale" priority="6">
      <colorScale>
        <cfvo type="num" val="1"/>
        <cfvo type="num" val="2"/>
        <cfvo type="num" val="3"/>
        <color rgb="00E3F0E6"/>
        <color rgb="00FFF0C7"/>
        <color rgb="00F6CDD3"/>
      </colorScale>
    </cfRule>
  </conditionalFormatting>
  <conditionalFormatting sqref="M7:M306">
    <cfRule type="colorScale" priority="7">
      <colorScale>
        <cfvo type="num" val="1"/>
        <cfvo type="num" val="2"/>
        <cfvo type="num" val="3"/>
        <color rgb="00E3F0E6"/>
        <color rgb="00FFF0C7"/>
        <color rgb="00F6CDD3"/>
      </colorScale>
    </cfRule>
  </conditionalFormatting>
  <conditionalFormatting sqref="N7:N306">
    <cfRule type="colorScale" priority="8">
      <colorScale>
        <cfvo type="num" val="1"/>
        <cfvo type="num" val="2"/>
        <cfvo type="num" val="3"/>
        <color rgb="00E3F0E6"/>
        <color rgb="00FFF0C7"/>
        <color rgb="00F6CDD3"/>
      </colorScale>
    </cfRule>
  </conditionalFormatting>
  <conditionalFormatting sqref="O7:O306">
    <cfRule type="colorScale" priority="9">
      <colorScale>
        <cfvo type="num" val="1"/>
        <cfvo type="num" val="2"/>
        <cfvo type="num" val="3"/>
        <color rgb="00E3F0E6"/>
        <color rgb="00FFF0C7"/>
        <color rgb="00F6CDD3"/>
      </colorScale>
    </cfRule>
  </conditionalFormatting>
  <conditionalFormatting sqref="R7:R306">
    <cfRule type="expression" priority="10" dxfId="4" stopIfTrue="1">
      <formula>R7="A"</formula>
    </cfRule>
    <cfRule type="expression" priority="11" dxfId="5" stopIfTrue="1">
      <formula>R7="B"</formula>
    </cfRule>
    <cfRule type="expression" priority="12" dxfId="6" stopIfTrue="1">
      <formula>R7="C"</formula>
    </cfRule>
    <cfRule type="expression" priority="13" dxfId="7" stopIfTrue="1">
      <formula>R7="Pendente"</formula>
    </cfRule>
    <cfRule type="expression" priority="21" dxfId="3">
      <formula>$A7&lt;&gt;""</formula>
    </cfRule>
  </conditionalFormatting>
  <conditionalFormatting sqref="S7:S306">
    <cfRule type="expression" priority="14" dxfId="0" stopIfTrue="1">
      <formula>LEFT(S7,4)="ERRO"</formula>
    </cfRule>
    <cfRule type="expression" priority="15" dxfId="1" stopIfTrue="1">
      <formula>OR(LEFT(S7,8)="Pendente",LEFT(S7,9)="Verificar",LEFT(S7,9)="Duplicada",LEFT(S7,7)="Tarefa ",LEFT(S7,13)="Fora do plano",LEFT(S7,8)="Previsão",LEFT(S7,11)="Sem vínculo",LEFT(S7,14)="Não verificado",LEFT(S7,13)="Não informado",LEFT(S7,7)="Informe")</formula>
    </cfRule>
    <cfRule type="expression" priority="16" dxfId="2" stopIfTrue="1">
      <formula>OR(LEFT(S7,2)="OK",LEFT(S7,10)="Verificado",S7="Vinculada",S7="No plano atual",S7="Informado")</formula>
    </cfRule>
    <cfRule type="expression" priority="22" dxfId="3">
      <formula>$A7&lt;&gt;""</formula>
    </cfRule>
  </conditionalFormatting>
  <conditionalFormatting sqref="E7:E306">
    <cfRule type="expression" priority="17" dxfId="3">
      <formula>$A7&lt;&gt;""</formula>
    </cfRule>
  </conditionalFormatting>
  <conditionalFormatting sqref="P7:P306">
    <cfRule type="expression" priority="19" dxfId="3">
      <formula>$A7&lt;&gt;""</formula>
    </cfRule>
  </conditionalFormatting>
  <conditionalFormatting sqref="Q7:Q306">
    <cfRule type="expression" priority="20" dxfId="3">
      <formula>$A7&lt;&gt;""</formula>
    </cfRule>
  </conditionalFormatting>
  <conditionalFormatting sqref="A7:S306">
    <cfRule type="expression" priority="23" dxfId="8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 (ID)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 (sigla)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 (1–3)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 (1–3)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 (1–3)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uência de falha (1–3)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de reparo (1–3)" prompt="Inteiro de 1 a 3. Vazio = não avaliado (classe Pendente)." type="whole" operator="between">
      <formula1>1</formula1>
      <formula2>3</formula2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2" customHeight="1">
      <c r="A1" s="12" t="inlineStr">
        <is>
          <t>PCMD-02</t>
        </is>
      </c>
      <c r="B1" s="24" t="inlineStr">
        <is>
          <t>Critérios de criticidade</t>
        </is>
      </c>
      <c r="C1" s="3" t="n"/>
      <c r="D1" s="3" t="n"/>
      <c r="E1" s="3" t="n"/>
    </row>
    <row r="2" ht="20" customHeight="1">
      <c r="A2" s="25" t="inlineStr">
        <is>
          <t>Segurança = 3 → A; senão soma ≥ A → A; soma ≥ B → B; senão C. Nota ausente ou limite inválido → Pendente.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</row>
    <row r="4" ht="20" customHeight="1">
      <c r="A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6" ht="30" customHeight="1">
      <c r="A6" s="34" t="inlineStr">
        <is>
          <t>Campo</t>
        </is>
      </c>
      <c r="B6" s="34" t="inlineStr">
        <is>
          <t>Valor</t>
        </is>
      </c>
      <c r="C6" s="35" t="inlineStr">
        <is>
          <t>Resultado</t>
        </is>
      </c>
      <c r="D6" s="34" t="inlineStr">
        <is>
          <t>Regra</t>
        </is>
      </c>
    </row>
    <row r="7" ht="22" customHeight="1">
      <c r="A7" s="20" t="inlineStr">
        <is>
          <t>Limite A (soma mínima)</t>
        </is>
      </c>
      <c r="B7" s="41" t="n">
        <v>12</v>
      </c>
      <c r="C7" s="11" t="n"/>
      <c r="D7" s="42" t="inlineStr">
        <is>
          <t>Inteiros com 5 ≤ B &lt; A ≤ 15.</t>
        </is>
      </c>
      <c r="E7" s="43" t="n"/>
    </row>
    <row r="8" ht="22" customHeight="1">
      <c r="A8" s="20" t="inlineStr">
        <is>
          <t>Limite B (soma mínima)</t>
        </is>
      </c>
      <c r="B8" s="41" t="n">
        <v>9</v>
      </c>
      <c r="C8" s="11" t="n"/>
      <c r="D8" s="42" t="inlineStr">
        <is>
          <t>Padrão inicial: A = 12 e B = 9.</t>
        </is>
      </c>
      <c r="E8" s="43" t="n"/>
    </row>
    <row r="9" ht="22" customHeight="1">
      <c r="A9" s="20" t="inlineStr">
        <is>
          <t>Limites válidos?</t>
        </is>
      </c>
      <c r="B9" s="44">
        <f>IF(AND(ISNUMBER(B7),ISNUMBER(B8)),AND(B7=INT(B7),B8=INT(B8),B8&gt;=5,B8&lt;B7,B7&lt;=15),FALSE)</f>
        <v/>
      </c>
      <c r="C9" s="44">
        <f>IF(B9,"OK: limites válidos","ERRO: Inválidos; use inteiros com 5 ≤ B &lt; A ≤ 15 (classes ficam Pendente)")</f>
        <v/>
      </c>
      <c r="D9" s="43" t="n"/>
      <c r="E9" s="43" t="n"/>
    </row>
    <row r="11" ht="22" customHeight="1">
      <c r="A11" s="7" t="inlineStr">
        <is>
          <t>Significado dos níveis (definido pelo mantenedor; o PCM Direto não define)</t>
        </is>
      </c>
      <c r="B11" s="8" t="n"/>
      <c r="C11" s="8" t="n"/>
      <c r="D11" s="8" t="n"/>
      <c r="E11" s="8" t="n"/>
    </row>
    <row r="12" ht="30" customHeight="1">
      <c r="A12" s="34" t="inlineStr">
        <is>
          <t>Critério</t>
        </is>
      </c>
      <c r="B12" s="34" t="inlineStr">
        <is>
          <t>Nível 1</t>
        </is>
      </c>
      <c r="C12" s="34" t="inlineStr">
        <is>
          <t>Nível 2</t>
        </is>
      </c>
      <c r="D12" s="34" t="inlineStr">
        <is>
          <t>Nível 3</t>
        </is>
      </c>
      <c r="E12" s="35" t="inlineStr">
        <is>
          <t>Situação</t>
        </is>
      </c>
    </row>
    <row r="13" ht="30" customHeight="1">
      <c r="A13" s="20" t="inlineStr">
        <is>
          <t>N1 Segurança</t>
        </is>
      </c>
      <c r="B13" s="21" t="n"/>
      <c r="C13" s="21" t="n"/>
      <c r="D13" s="21" t="n"/>
      <c r="E13" s="44">
        <f>IF(COUNTA(B13:D13)&lt;3,"Pendente: a definir pelo mantenedor","OK: definido")</f>
        <v/>
      </c>
    </row>
    <row r="14" ht="30" customHeight="1">
      <c r="A14" s="20" t="inlineStr">
        <is>
          <t>N2 Qualidade</t>
        </is>
      </c>
      <c r="B14" s="21" t="n"/>
      <c r="C14" s="21" t="n"/>
      <c r="D14" s="21" t="n"/>
      <c r="E14" s="44">
        <f>IF(COUNTA(B14:D14)&lt;3,"Pendente: a definir pelo mantenedor","OK: definido")</f>
        <v/>
      </c>
    </row>
    <row r="15" ht="30" customHeight="1">
      <c r="A15" s="20" t="inlineStr">
        <is>
          <t>N3 Produção</t>
        </is>
      </c>
      <c r="B15" s="21" t="n"/>
      <c r="C15" s="21" t="n"/>
      <c r="D15" s="21" t="n"/>
      <c r="E15" s="44">
        <f>IF(COUNTA(B15:D15)&lt;3,"Pendente: a definir pelo mantenedor","OK: definido")</f>
        <v/>
      </c>
    </row>
    <row r="16" ht="30" customHeight="1">
      <c r="A16" s="20" t="inlineStr">
        <is>
          <t>N4 Frequência de falha</t>
        </is>
      </c>
      <c r="B16" s="21" t="n"/>
      <c r="C16" s="21" t="n"/>
      <c r="D16" s="21" t="n"/>
      <c r="E16" s="44">
        <f>IF(COUNTA(B16:D16)&lt;3,"Pendente: a definir pelo mantenedor","OK: definido")</f>
        <v/>
      </c>
    </row>
    <row r="17" ht="30" customHeight="1">
      <c r="A17" s="20" t="inlineStr">
        <is>
          <t>N5 Custo/tempo de reparo</t>
        </is>
      </c>
      <c r="B17" s="21" t="n"/>
      <c r="C17" s="21" t="n"/>
      <c r="D17" s="21" t="n"/>
      <c r="E17" s="44">
        <f>IF(COUNTA(B17:D17)&lt;3,"Pendente: a definir pelo mantenedor","OK: definido")</f>
        <v/>
      </c>
    </row>
    <row r="19" ht="26" customHeight="1">
      <c r="A19" s="45" t="inlineStr">
        <is>
          <t>A classe não altera frequências, tarefas nem proteções de segurança. Qualquer mudança no plano é decisão registrada do profissional responsável.</t>
        </is>
      </c>
    </row>
  </sheetData>
  <mergeCells count="8">
    <mergeCell ref="D8:E8"/>
    <mergeCell ref="A4:E4"/>
    <mergeCell ref="B1:E1"/>
    <mergeCell ref="D7:E7"/>
    <mergeCell ref="A2:E2"/>
    <mergeCell ref="A19:E19"/>
    <mergeCell ref="C9:E9"/>
    <mergeCell ref="A3:E3"/>
  </mergeCells>
  <conditionalFormatting sqref="C9">
    <cfRule type="expression" priority="1" dxfId="0" stopIfTrue="1">
      <formula>LEFT(C9,4)="ERRO"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verificado",LEFT(C9,13)="Não informado",LEFT(C9,7)="Informe")</formula>
    </cfRule>
    <cfRule type="expression" priority="3" dxfId="2" stopIfTrue="1">
      <formula>OR(LEFT(C9,2)="OK",LEFT(C9,10)="Verificado",C9="Vinculada",C9="No plano atual",C9="Informado")</formula>
    </cfRule>
  </conditionalFormatting>
  <conditionalFormatting sqref="E13:E17">
    <cfRule type="expression" priority="4" dxfId="0" stopIfTrue="1">
      <formula>LEFT(E13,4)="ERRO"</formula>
    </cfRule>
    <cfRule type="expression" priority="5" dxfId="1" stopIfTrue="1">
      <formula>OR(LEFT(E13,8)="Pendente",LEFT(E13,9)="Verificar",LEFT(E13,9)="Duplicada",LEFT(E13,7)="Tarefa ",LEFT(E13,13)="Fora do plano",LEFT(E13,8)="Previsão",LEFT(E13,11)="Sem vínculo",LEFT(E13,14)="Não verificado",LEFT(E13,13)="Não informado",LEFT(E13,7)="Informe")</formula>
    </cfRule>
    <cfRule type="expression" priority="6" dxfId="2" stopIfTrue="1">
      <formula>OR(LEFT(E13,2)="OK",LEFT(E13,10)="Verificado",E13="Vinculada",E13="No plano atual",E13="Informado")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</cols>
  <sheetData>
    <row r="1" ht="32" customHeight="1">
      <c r="A1" s="12" t="inlineStr">
        <is>
          <t>PCMD-02</t>
        </is>
      </c>
      <c r="B1" s="24" t="inlineStr">
        <is>
          <t>Setores</t>
        </is>
      </c>
      <c r="C1" s="3" t="n"/>
    </row>
    <row r="2" ht="20" customHeight="1">
      <c r="A2" s="25" t="inlineStr">
        <is>
          <t>Siglas de 2 a 4 letras ou números usadas na TAG (SETOR-SIGLA-NNN).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</row>
    <row r="4" ht="20" customHeight="1">
      <c r="A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C4" s="46">
        <f>IF(COUNTA(A37:A2036)&gt;0,"ATENÇÃO: dados além da linha 36","Linhas: "&amp;COUNTA(A7:A36)&amp;" de 30"&amp;IF(COUNTIF(C7:C36,"ERRO*")&gt;0,"   ·   "&amp;COUNTIF(C7:C36,"ERRO*")&amp;" com ERRO",""))</f>
        <v/>
      </c>
    </row>
    <row r="5" ht="14" customHeight="1">
      <c r="A5" s="32" t="inlineStr">
        <is>
          <t>PREENCHER</t>
        </is>
      </c>
      <c r="B5" s="32" t="inlineStr">
        <is>
          <t>PREENCHER</t>
        </is>
      </c>
      <c r="C5" s="33" t="inlineStr">
        <is>
          <t>AUTOMÁTICO</t>
        </is>
      </c>
    </row>
    <row r="6" ht="30" customHeight="1">
      <c r="A6" s="34" t="inlineStr">
        <is>
          <t>Sigla do setor</t>
        </is>
      </c>
      <c r="B6" s="34" t="inlineStr">
        <is>
          <t>Descrição do setor</t>
        </is>
      </c>
      <c r="C6" s="35" t="inlineStr">
        <is>
          <t>Conferência</t>
        </is>
      </c>
    </row>
    <row r="7">
      <c r="A7" s="36" t="inlineStr">
        <is>
          <t>UTL</t>
        </is>
      </c>
      <c r="B7" s="37" t="n"/>
      <c r="C7" s="40">
        <f>IF(A7="","",IF(OR(LEN(A7)&lt;2,LEN(A7)&gt;4),"ERRO: use 2 a 4 caracteres",IF(COUNTIF(cad_setor,A7)&gt;1,"ERRO: sigla repetida","OK")))</f>
        <v/>
      </c>
    </row>
    <row r="8">
      <c r="A8" s="36" t="inlineStr">
        <is>
          <t>PRD</t>
        </is>
      </c>
      <c r="B8" s="37" t="n"/>
      <c r="C8" s="40">
        <f>IF(A8="","",IF(OR(LEN(A8)&lt;2,LEN(A8)&gt;4),"ERRO: use 2 a 4 caracteres",IF(COUNTIF(cad_setor,A8)&gt;1,"ERRO: sigla repetida","OK")))</f>
        <v/>
      </c>
    </row>
    <row r="9">
      <c r="A9" s="36" t="inlineStr">
        <is>
          <t>EXP</t>
        </is>
      </c>
      <c r="B9" s="37" t="n"/>
      <c r="C9" s="40">
        <f>IF(A9="","",IF(OR(LEN(A9)&lt;2,LEN(A9)&gt;4),"ERRO: use 2 a 4 caracteres",IF(COUNTIF(cad_setor,A9)&gt;1,"ERRO: sigla repetida","OK")))</f>
        <v/>
      </c>
    </row>
    <row r="10">
      <c r="A10" s="36" t="n"/>
      <c r="B10" s="37" t="n"/>
      <c r="C10" s="40">
        <f>IF(A10="","",IF(OR(LEN(A10)&lt;2,LEN(A10)&gt;4),"ERRO: use 2 a 4 caracteres",IF(COUNTIF(cad_setor,A10)&gt;1,"ERRO: sigla repetida","OK")))</f>
        <v/>
      </c>
    </row>
    <row r="11">
      <c r="A11" s="36" t="n"/>
      <c r="B11" s="37" t="n"/>
      <c r="C11" s="40">
        <f>IF(A11="","",IF(OR(LEN(A11)&lt;2,LEN(A11)&gt;4),"ERRO: use 2 a 4 caracteres",IF(COUNTIF(cad_setor,A11)&gt;1,"ERRO: sigla repetida","OK")))</f>
        <v/>
      </c>
    </row>
    <row r="12">
      <c r="A12" s="36" t="n"/>
      <c r="B12" s="37" t="n"/>
      <c r="C12" s="40">
        <f>IF(A12="","",IF(OR(LEN(A12)&lt;2,LEN(A12)&gt;4),"ERRO: use 2 a 4 caracteres",IF(COUNTIF(cad_setor,A12)&gt;1,"ERRO: sigla repetida","OK")))</f>
        <v/>
      </c>
    </row>
    <row r="13">
      <c r="A13" s="36" t="n"/>
      <c r="B13" s="37" t="n"/>
      <c r="C13" s="40">
        <f>IF(A13="","",IF(OR(LEN(A13)&lt;2,LEN(A13)&gt;4),"ERRO: use 2 a 4 caracteres",IF(COUNTIF(cad_setor,A13)&gt;1,"ERRO: sigla repetida","OK")))</f>
        <v/>
      </c>
    </row>
    <row r="14">
      <c r="A14" s="36" t="n"/>
      <c r="B14" s="37" t="n"/>
      <c r="C14" s="40">
        <f>IF(A14="","",IF(OR(LEN(A14)&lt;2,LEN(A14)&gt;4),"ERRO: use 2 a 4 caracteres",IF(COUNTIF(cad_setor,A14)&gt;1,"ERRO: sigla repetida","OK")))</f>
        <v/>
      </c>
    </row>
    <row r="15">
      <c r="A15" s="36" t="n"/>
      <c r="B15" s="37" t="n"/>
      <c r="C15" s="40">
        <f>IF(A15="","",IF(OR(LEN(A15)&lt;2,LEN(A15)&gt;4),"ERRO: use 2 a 4 caracteres",IF(COUNTIF(cad_setor,A15)&gt;1,"ERRO: sigla repetida","OK")))</f>
        <v/>
      </c>
    </row>
    <row r="16">
      <c r="A16" s="36" t="n"/>
      <c r="B16" s="37" t="n"/>
      <c r="C16" s="40">
        <f>IF(A16="","",IF(OR(LEN(A16)&lt;2,LEN(A16)&gt;4),"ERRO: use 2 a 4 caracteres",IF(COUNTIF(cad_setor,A16)&gt;1,"ERRO: sigla repetida","OK")))</f>
        <v/>
      </c>
    </row>
    <row r="17">
      <c r="A17" s="36" t="n"/>
      <c r="B17" s="37" t="n"/>
      <c r="C17" s="40">
        <f>IF(A17="","",IF(OR(LEN(A17)&lt;2,LEN(A17)&gt;4),"ERRO: use 2 a 4 caracteres",IF(COUNTIF(cad_setor,A17)&gt;1,"ERRO: sigla repetida","OK")))</f>
        <v/>
      </c>
    </row>
    <row r="18">
      <c r="A18" s="36" t="n"/>
      <c r="B18" s="37" t="n"/>
      <c r="C18" s="40">
        <f>IF(A18="","",IF(OR(LEN(A18)&lt;2,LEN(A18)&gt;4),"ERRO: use 2 a 4 caracteres",IF(COUNTIF(cad_setor,A18)&gt;1,"ERRO: sigla repetida","OK")))</f>
        <v/>
      </c>
    </row>
    <row r="19">
      <c r="A19" s="36" t="n"/>
      <c r="B19" s="37" t="n"/>
      <c r="C19" s="40">
        <f>IF(A19="","",IF(OR(LEN(A19)&lt;2,LEN(A19)&gt;4),"ERRO: use 2 a 4 caracteres",IF(COUNTIF(cad_setor,A19)&gt;1,"ERRO: sigla repetida","OK")))</f>
        <v/>
      </c>
    </row>
    <row r="20">
      <c r="A20" s="36" t="n"/>
      <c r="B20" s="37" t="n"/>
      <c r="C20" s="40">
        <f>IF(A20="","",IF(OR(LEN(A20)&lt;2,LEN(A20)&gt;4),"ERRO: use 2 a 4 caracteres",IF(COUNTIF(cad_setor,A20)&gt;1,"ERRO: sigla repetida","OK")))</f>
        <v/>
      </c>
    </row>
    <row r="21">
      <c r="A21" s="36" t="n"/>
      <c r="B21" s="37" t="n"/>
      <c r="C21" s="40">
        <f>IF(A21="","",IF(OR(LEN(A21)&lt;2,LEN(A21)&gt;4),"ERRO: use 2 a 4 caracteres",IF(COUNTIF(cad_setor,A21)&gt;1,"ERRO: sigla repetida","OK")))</f>
        <v/>
      </c>
    </row>
    <row r="22">
      <c r="A22" s="36" t="n"/>
      <c r="B22" s="37" t="n"/>
      <c r="C22" s="40">
        <f>IF(A22="","",IF(OR(LEN(A22)&lt;2,LEN(A22)&gt;4),"ERRO: use 2 a 4 caracteres",IF(COUNTIF(cad_setor,A22)&gt;1,"ERRO: sigla repetida","OK")))</f>
        <v/>
      </c>
    </row>
    <row r="23">
      <c r="A23" s="36" t="n"/>
      <c r="B23" s="37" t="n"/>
      <c r="C23" s="40">
        <f>IF(A23="","",IF(OR(LEN(A23)&lt;2,LEN(A23)&gt;4),"ERRO: use 2 a 4 caracteres",IF(COUNTIF(cad_setor,A23)&gt;1,"ERRO: sigla repetida","OK")))</f>
        <v/>
      </c>
    </row>
    <row r="24">
      <c r="A24" s="36" t="n"/>
      <c r="B24" s="37" t="n"/>
      <c r="C24" s="40">
        <f>IF(A24="","",IF(OR(LEN(A24)&lt;2,LEN(A24)&gt;4),"ERRO: use 2 a 4 caracteres",IF(COUNTIF(cad_setor,A24)&gt;1,"ERRO: sigla repetida","OK")))</f>
        <v/>
      </c>
    </row>
    <row r="25">
      <c r="A25" s="36" t="n"/>
      <c r="B25" s="37" t="n"/>
      <c r="C25" s="40">
        <f>IF(A25="","",IF(OR(LEN(A25)&lt;2,LEN(A25)&gt;4),"ERRO: use 2 a 4 caracteres",IF(COUNTIF(cad_setor,A25)&gt;1,"ERRO: sigla repetida","OK")))</f>
        <v/>
      </c>
    </row>
    <row r="26">
      <c r="A26" s="36" t="n"/>
      <c r="B26" s="37" t="n"/>
      <c r="C26" s="40">
        <f>IF(A26="","",IF(OR(LEN(A26)&lt;2,LEN(A26)&gt;4),"ERRO: use 2 a 4 caracteres",IF(COUNTIF(cad_setor,A26)&gt;1,"ERRO: sigla repetida","OK")))</f>
        <v/>
      </c>
    </row>
    <row r="27">
      <c r="A27" s="36" t="n"/>
      <c r="B27" s="37" t="n"/>
      <c r="C27" s="40">
        <f>IF(A27="","",IF(OR(LEN(A27)&lt;2,LEN(A27)&gt;4),"ERRO: use 2 a 4 caracteres",IF(COUNTIF(cad_setor,A27)&gt;1,"ERRO: sigla repetida","OK")))</f>
        <v/>
      </c>
    </row>
    <row r="28">
      <c r="A28" s="36" t="n"/>
      <c r="B28" s="37" t="n"/>
      <c r="C28" s="40">
        <f>IF(A28="","",IF(OR(LEN(A28)&lt;2,LEN(A28)&gt;4),"ERRO: use 2 a 4 caracteres",IF(COUNTIF(cad_setor,A28)&gt;1,"ERRO: sigla repetida","OK")))</f>
        <v/>
      </c>
    </row>
    <row r="29">
      <c r="A29" s="36" t="n"/>
      <c r="B29" s="37" t="n"/>
      <c r="C29" s="40">
        <f>IF(A29="","",IF(OR(LEN(A29)&lt;2,LEN(A29)&gt;4),"ERRO: use 2 a 4 caracteres",IF(COUNTIF(cad_setor,A29)&gt;1,"ERRO: sigla repetida","OK")))</f>
        <v/>
      </c>
    </row>
    <row r="30">
      <c r="A30" s="36" t="n"/>
      <c r="B30" s="37" t="n"/>
      <c r="C30" s="40">
        <f>IF(A30="","",IF(OR(LEN(A30)&lt;2,LEN(A30)&gt;4),"ERRO: use 2 a 4 caracteres",IF(COUNTIF(cad_setor,A30)&gt;1,"ERRO: sigla repetida","OK")))</f>
        <v/>
      </c>
    </row>
    <row r="31">
      <c r="A31" s="36" t="n"/>
      <c r="B31" s="37" t="n"/>
      <c r="C31" s="40">
        <f>IF(A31="","",IF(OR(LEN(A31)&lt;2,LEN(A31)&gt;4),"ERRO: use 2 a 4 caracteres",IF(COUNTIF(cad_setor,A31)&gt;1,"ERRO: sigla repetida","OK")))</f>
        <v/>
      </c>
    </row>
    <row r="32">
      <c r="A32" s="36" t="n"/>
      <c r="B32" s="37" t="n"/>
      <c r="C32" s="40">
        <f>IF(A32="","",IF(OR(LEN(A32)&lt;2,LEN(A32)&gt;4),"ERRO: use 2 a 4 caracteres",IF(COUNTIF(cad_setor,A32)&gt;1,"ERRO: sigla repetida","OK")))</f>
        <v/>
      </c>
    </row>
    <row r="33">
      <c r="A33" s="36" t="n"/>
      <c r="B33" s="37" t="n"/>
      <c r="C33" s="40">
        <f>IF(A33="","",IF(OR(LEN(A33)&lt;2,LEN(A33)&gt;4),"ERRO: use 2 a 4 caracteres",IF(COUNTIF(cad_setor,A33)&gt;1,"ERRO: sigla repetida","OK")))</f>
        <v/>
      </c>
    </row>
    <row r="34">
      <c r="A34" s="36" t="n"/>
      <c r="B34" s="37" t="n"/>
      <c r="C34" s="40">
        <f>IF(A34="","",IF(OR(LEN(A34)&lt;2,LEN(A34)&gt;4),"ERRO: use 2 a 4 caracteres",IF(COUNTIF(cad_setor,A34)&gt;1,"ERRO: sigla repetida","OK")))</f>
        <v/>
      </c>
    </row>
    <row r="35">
      <c r="A35" s="36" t="n"/>
      <c r="B35" s="37" t="n"/>
      <c r="C35" s="40">
        <f>IF(A35="","",IF(OR(LEN(A35)&lt;2,LEN(A35)&gt;4),"ERRO: use 2 a 4 caracteres",IF(COUNTIF(cad_setor,A35)&gt;1,"ERRO: sigla repetida","OK")))</f>
        <v/>
      </c>
    </row>
    <row r="36">
      <c r="A36" s="36" t="n"/>
      <c r="B36" s="37" t="n"/>
      <c r="C36" s="40">
        <f>IF(A36="","",IF(OR(LEN(A36)&lt;2,LEN(A36)&gt;4),"ERRO: use 2 a 4 caracteres",IF(COUNTIF(cad_setor,A36)&gt;1,"ERRO: sigla repetida","OK")))</f>
        <v/>
      </c>
    </row>
  </sheetData>
  <autoFilter ref="A6:C36"/>
  <mergeCells count="4">
    <mergeCell ref="A4:B4"/>
    <mergeCell ref="B1:C1"/>
    <mergeCell ref="A3:C3"/>
    <mergeCell ref="A2:C2"/>
  </mergeCells>
  <conditionalFormatting sqref="C4">
    <cfRule type="expression" priority="1" dxfId="0">
      <formula>LEFT(C4,7)="ATENÇÃO"</formula>
    </cfRule>
  </conditionalFormatting>
  <conditionalFormatting sqref="C7:C36">
    <cfRule type="expression" priority="2" dxfId="0" stopIfTrue="1">
      <formula>LEFT(C7,4)="ERRO"</formula>
    </cfRule>
    <cfRule type="expression" priority="3" dxfId="1" stopIfTrue="1">
      <formula>OR(LEFT(C7,8)="Pendente",LEFT(C7,9)="Verificar",LEFT(C7,9)="Duplicada",LEFT(C7,7)="Tarefa ",LEFT(C7,13)="Fora do plano",LEFT(C7,8)="Previsão",LEFT(C7,11)="Sem vínculo",LEFT(C7,14)="Não verificado",LEFT(C7,13)="Não informado",LEFT(C7,7)="Informe")</formula>
    </cfRule>
    <cfRule type="expression" priority="4" dxfId="2" stopIfTrue="1">
      <formula>OR(LEFT(C7,2)="OK",LEFT(C7,10)="Verificado",C7="Vinculada",C7="No plano atual",C7="Informado")</formula>
    </cfRule>
    <cfRule type="expression" priority="5" dxfId="3">
      <formula>$A7&lt;&gt;""</formula>
    </cfRule>
  </conditionalFormatting>
  <conditionalFormatting sqref="A7:C36">
    <cfRule type="expression" priority="6" dxfId="8">
      <formula>AND($A7&lt;&gt;"",MOD(ROW(),2)=0)</formula>
    </cfRule>
  </conditionalFormatting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</cols>
  <sheetData>
    <row r="1" ht="32" customHeight="1">
      <c r="A1" s="12" t="inlineStr">
        <is>
          <t>PCMD-02</t>
        </is>
      </c>
      <c r="B1" s="24" t="inlineStr">
        <is>
          <t>Listas</t>
        </is>
      </c>
      <c r="C1" s="3" t="n"/>
    </row>
    <row r="2" ht="33.55" customHeight="1">
      <c r="A2" s="25" t="inlineStr">
        <is>
          <t>Valores aceitos nas listas suspensas. Ao acrescentar itens, mantenha-os dentro dos intervalos nomeados.</t>
        </is>
      </c>
    </row>
    <row r="3" ht="52.4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</row>
    <row r="4" ht="20" customHeight="1">
      <c r="A4" s="27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47" t="inlineStr">
        <is>
          <t>REFERÊNCIA</t>
        </is>
      </c>
      <c r="B5" s="47" t="inlineStr">
        <is>
          <t>REFERÊNCIA</t>
        </is>
      </c>
      <c r="C5" s="47" t="inlineStr">
        <is>
          <t>REFERÊNCIA</t>
        </is>
      </c>
    </row>
    <row r="6" ht="30" customHeight="1">
      <c r="A6" s="48" t="inlineStr">
        <is>
          <t>Tipo (ID)</t>
        </is>
      </c>
      <c r="B6" s="48" t="inlineStr">
        <is>
          <t>Tipo (nome)</t>
        </is>
      </c>
      <c r="C6" s="48" t="inlineStr">
        <is>
          <t>Sigla</t>
        </is>
      </c>
    </row>
    <row r="7">
      <c r="A7" s="49" t="inlineStr">
        <is>
          <t>motor_eletrico</t>
        </is>
      </c>
      <c r="B7" s="49" t="inlineStr">
        <is>
          <t>Motor elétrico</t>
        </is>
      </c>
      <c r="C7" s="49" t="inlineStr">
        <is>
          <t>MOT</t>
        </is>
      </c>
    </row>
    <row r="8">
      <c r="A8" s="49" t="inlineStr">
        <is>
          <t>compressor_ar</t>
        </is>
      </c>
      <c r="B8" s="49" t="inlineStr">
        <is>
          <t>Compressor de ar</t>
        </is>
      </c>
      <c r="C8" s="49" t="inlineStr">
        <is>
          <t>CMP</t>
        </is>
      </c>
    </row>
    <row r="9">
      <c r="A9" s="49" t="inlineStr">
        <is>
          <t>bomba_centrifuga</t>
        </is>
      </c>
      <c r="B9" s="49" t="inlineStr">
        <is>
          <t>Bomba centrífuga</t>
        </is>
      </c>
      <c r="C9" s="49" t="inlineStr">
        <is>
          <t>BCF</t>
        </is>
      </c>
    </row>
    <row r="10">
      <c r="A10" s="49" t="inlineStr">
        <is>
          <t>ponte_rolante</t>
        </is>
      </c>
      <c r="B10" s="49" t="inlineStr">
        <is>
          <t>Ponte rolante</t>
        </is>
      </c>
      <c r="C10" s="49" t="inlineStr">
        <is>
          <t>PRL</t>
        </is>
      </c>
    </row>
    <row r="11">
      <c r="A11" s="49" t="n"/>
      <c r="B11" s="49" t="n"/>
      <c r="C11" s="49" t="n"/>
    </row>
    <row r="12">
      <c r="A12" s="49" t="n"/>
      <c r="B12" s="49" t="n"/>
      <c r="C12" s="49" t="n"/>
    </row>
    <row r="13">
      <c r="A13" s="49" t="n"/>
      <c r="B13" s="49" t="n"/>
      <c r="C13" s="49" t="n"/>
    </row>
    <row r="14">
      <c r="A14" s="49" t="n"/>
      <c r="B14" s="49" t="n"/>
      <c r="C14" s="49" t="n"/>
    </row>
    <row r="15">
      <c r="A15" s="49" t="n"/>
      <c r="B15" s="49" t="n"/>
      <c r="C15" s="49" t="n"/>
    </row>
    <row r="16">
      <c r="A16" s="49" t="n"/>
      <c r="B16" s="49" t="n"/>
      <c r="C16" s="49" t="n"/>
    </row>
    <row r="17">
      <c r="A17" s="49" t="n"/>
      <c r="B17" s="49" t="n"/>
      <c r="C17" s="49" t="n"/>
    </row>
    <row r="18">
      <c r="A18" s="49" t="n"/>
      <c r="B18" s="49" t="n"/>
      <c r="C18" s="49" t="n"/>
    </row>
    <row r="19">
      <c r="A19" s="49" t="n"/>
      <c r="B19" s="49" t="n"/>
      <c r="C19" s="49" t="n"/>
    </row>
    <row r="20">
      <c r="A20" s="49" t="n"/>
      <c r="B20" s="49" t="n"/>
      <c r="C20" s="49" t="n"/>
    </row>
    <row r="21">
      <c r="A21" s="49" t="n"/>
      <c r="B21" s="49" t="n"/>
      <c r="C21" s="49" t="n"/>
    </row>
    <row r="22">
      <c r="A22" s="49" t="n"/>
      <c r="B22" s="49" t="n"/>
      <c r="C22" s="49" t="n"/>
    </row>
    <row r="23">
      <c r="A23" s="49" t="n"/>
      <c r="B23" s="49" t="n"/>
      <c r="C23" s="49" t="n"/>
    </row>
    <row r="24">
      <c r="A24" s="49" t="n"/>
      <c r="B24" s="49" t="n"/>
      <c r="C24" s="49" t="n"/>
    </row>
    <row r="25">
      <c r="A25" s="49" t="n"/>
      <c r="B25" s="49" t="n"/>
      <c r="C25" s="49" t="n"/>
    </row>
    <row r="26">
      <c r="A26" s="49" t="n"/>
      <c r="B26" s="49" t="n"/>
      <c r="C26" s="49" t="n"/>
    </row>
    <row r="27">
      <c r="A27" s="49" t="n"/>
      <c r="B27" s="49" t="n"/>
      <c r="C27" s="49" t="n"/>
    </row>
    <row r="28">
      <c r="A28" s="49" t="n"/>
      <c r="B28" s="49" t="n"/>
      <c r="C28" s="49" t="n"/>
    </row>
    <row r="29">
      <c r="A29" s="49" t="n"/>
      <c r="B29" s="49" t="n"/>
      <c r="C29" s="49" t="n"/>
    </row>
    <row r="30">
      <c r="A30" s="49" t="n"/>
      <c r="B30" s="49" t="n"/>
      <c r="C30" s="49" t="n"/>
    </row>
    <row r="31">
      <c r="A31" s="49" t="n"/>
      <c r="B31" s="49" t="n"/>
      <c r="C31" s="49" t="n"/>
    </row>
    <row r="32">
      <c r="A32" s="49" t="n"/>
      <c r="B32" s="49" t="n"/>
      <c r="C32" s="49" t="n"/>
    </row>
    <row r="33">
      <c r="A33" s="49" t="n"/>
      <c r="B33" s="49" t="n"/>
      <c r="C33" s="49" t="n"/>
    </row>
    <row r="34">
      <c r="A34" s="49" t="n"/>
      <c r="B34" s="49" t="n"/>
      <c r="C34" s="49" t="n"/>
    </row>
    <row r="35">
      <c r="A35" s="49" t="n"/>
      <c r="B35" s="49" t="n"/>
      <c r="C35" s="49" t="n"/>
    </row>
    <row r="36">
      <c r="A36" s="49" t="n"/>
      <c r="B36" s="49" t="n"/>
      <c r="C36" s="49" t="n"/>
    </row>
  </sheetData>
  <mergeCells count="4">
    <mergeCell ref="B1:C1"/>
    <mergeCell ref="A4:C4"/>
    <mergeCell ref="A3:C3"/>
    <mergeCell ref="A2:C2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PCMD-02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2026-10-23T03:49:10Z</dcterms:modified>
  <cp:keywords>PCM Direto; modelo 1.0.0; licença MIT</cp:keywords>
</cp:coreProperties>
</file>