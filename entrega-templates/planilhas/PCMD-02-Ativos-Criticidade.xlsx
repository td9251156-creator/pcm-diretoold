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ritérios" sheetId="3" state="visible" r:id="rId3"/>
    <sheet xmlns:r="http://schemas.openxmlformats.org/officeDocument/2006/relationships" name="Setores" sheetId="4" state="visible" r:id="rId4"/>
    <sheet xmlns:r="http://schemas.openxmlformats.org/officeDocument/2006/relationships" name="Listas" sheetId="5" state="visible" r:id="rId5"/>
  </sheets>
  <definedNames>
    <definedName name="pcmd_origem">'Início'!$C$25</definedName>
    <definedName name="pcmd_emissao">'Início'!$C$26</definedName>
    <definedName name="at_id">'Ativos'!$A$7:$A$306</definedName>
    <definedName name="at_tag">'Ativos'!$B$7:$B$306</definedName>
    <definedName name="at_descricao">'Ativos'!$C$7:$C$306</definedName>
    <definedName name="cad_limite_a">'Critérios'!$B$7</definedName>
    <definedName name="cad_limite_b">'Critérios'!$B$8</definedName>
    <definedName name="cad_limites_ok">'Critérios'!$B$9</definedName>
    <definedName name="cad_setor">'Setores'!$A$7:$A$36</definedName>
    <definedName name="lst_tipo_id">'Listas'!$A$7:$A$36</definedName>
    <definedName name="lst_tipo_nome">'Listas'!$B$7:$B$36</definedName>
    <definedName name="lst_tipo_sigla">'Listas'!$C$7:$C$36</definedName>
    <definedName name="_xlnm.Print_Area" localSheetId="0">'Início'!$A$1:$D$28</definedName>
    <definedName name="_xlnm._FilterDatabase" localSheetId="1" hidden="1">'Ativos'!$A$6:$S$306</definedName>
    <definedName name="_xlnm.Print_Titles" localSheetId="1">'Ativos'!$6:$6,'Ativos'!$A:$B</definedName>
    <definedName name="_xlnm.Print_Area" localSheetId="1">'Ativos'!$A$1:$S$36</definedName>
    <definedName name="_xlnm.Print_Area" localSheetId="2">'Critérios'!$A$1:$E$19</definedName>
    <definedName name="_xlnm._FilterDatabase" localSheetId="3" hidden="1">'Setores'!$A$6:$C$36</definedName>
    <definedName name="_xlnm.Print_Titles" localSheetId="3">'Setores'!$6:$6</definedName>
    <definedName name="_xlnm.Print_Area" localSheetId="3">'Setores'!$A$1:$C$18</definedName>
    <definedName name="_xlnm.Print_Titles" localSheetId="4">'Listas'!$6:$6</definedName>
    <definedName name="_xlnm.Print_Area" localSheetId="4">'Listas'!$A$1:$C$36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5B6875"/>
      <sz val="10"/>
    </font>
    <font>
      <name val="Arial"/>
      <b val="1"/>
      <color rgb="000B3D63"/>
      <sz val="11"/>
    </font>
    <font>
      <name val="Arial"/>
      <b val="1"/>
      <color rgb="000B3D63"/>
      <sz val="10"/>
      <u val="single"/>
    </font>
    <font>
      <name val="Arial"/>
      <color rgb="001F2A37"/>
      <sz val="9.5"/>
    </font>
    <font>
      <name val="Arial"/>
      <b val="1"/>
      <color rgb="00FFFFFF"/>
      <sz val="10"/>
    </font>
    <font>
      <name val="Arial"/>
      <color rgb="001F2A37"/>
      <sz val="10"/>
    </font>
    <font>
      <name val="Arial"/>
      <b val="1"/>
      <color rgb="00FFFFFF"/>
      <sz val="8.5"/>
    </font>
    <font>
      <name val="Arial"/>
      <b val="1"/>
      <color rgb="007A0019"/>
      <sz val="8.5"/>
    </font>
    <font>
      <name val="Arial"/>
      <b val="1"/>
      <color rgb="005C4600"/>
      <sz val="8.5"/>
    </font>
    <font>
      <name val="Arial"/>
      <b val="1"/>
      <color rgb="001E7B34"/>
      <sz val="8.5"/>
    </font>
    <font>
      <name val="Arial"/>
      <b val="1"/>
      <color rgb="001F2A37"/>
      <sz val="9.5"/>
    </font>
    <font>
      <name val="Arial"/>
      <color rgb="008C96A0"/>
      <sz val="8"/>
    </font>
    <font>
      <name val="Arial"/>
      <b val="1"/>
      <color rgb="00FFFFFF"/>
      <sz val="15"/>
    </font>
    <font>
      <name val="Arial"/>
      <color rgb="005B6875"/>
      <sz val="9.5"/>
    </font>
    <font>
      <name val="Arial"/>
      <color rgb="005B6875"/>
      <sz val="8.5"/>
    </font>
    <font>
      <name val="Arial"/>
      <b val="1"/>
      <color rgb="005B6875"/>
      <sz val="8.5"/>
    </font>
    <font>
      <name val="Arial"/>
      <b val="1"/>
      <color rgb="000B3D63"/>
      <sz val="8.5"/>
    </font>
    <font>
      <name val="Arial"/>
      <b val="1"/>
      <color rgb="000B3D63"/>
      <sz val="7"/>
    </font>
    <font>
      <name val="Arial"/>
      <b val="1"/>
      <color rgb="00FFFFFF"/>
      <sz val="9"/>
    </font>
    <font>
      <name val="Arial"/>
      <b val="1"/>
      <color rgb="004F6273"/>
      <sz val="7"/>
    </font>
    <font>
      <name val="Arial"/>
      <i val="1"/>
      <color rgb="005B6875"/>
      <sz val="8.5"/>
    </font>
    <font>
      <name val="Arial"/>
      <b val="1"/>
      <color rgb="00B85C00"/>
      <sz val="7"/>
    </font>
  </fonts>
  <fills count="11">
    <fill>
      <patternFill/>
    </fill>
    <fill>
      <patternFill patternType="gray125"/>
    </fill>
    <fill>
      <patternFill patternType="solid">
        <fgColor rgb="000B3D63"/>
      </patternFill>
    </fill>
    <fill>
      <patternFill patternType="solid">
        <fgColor rgb="00B85C00"/>
      </patternFill>
    </fill>
    <fill>
      <patternFill patternType="solid">
        <fgColor rgb="00FFF4C2"/>
      </patternFill>
    </fill>
    <fill>
      <patternFill patternType="solid">
        <fgColor rgb="004F6273"/>
      </patternFill>
    </fill>
    <fill>
      <patternFill patternType="solid">
        <fgColor rgb="00FBE7EA"/>
      </patternFill>
    </fill>
    <fill>
      <patternFill patternType="solid">
        <fgColor rgb="00FFFFFF"/>
      </patternFill>
    </fill>
    <fill>
      <patternFill patternType="solid">
        <fgColor rgb="007A0019"/>
      </patternFill>
    </fill>
    <fill>
      <patternFill patternType="solid">
        <fgColor rgb="00E3ECF4"/>
      </patternFill>
    </fill>
    <fill>
      <patternFill patternType="solid">
        <fgColor rgb="00EBEFF3"/>
      </patternFill>
    </fill>
  </fills>
  <borders count="7">
    <border>
      <left/>
      <right/>
      <top/>
      <bottom/>
      <diagonal/>
    </border>
    <border>
      <bottom style="medium">
        <color rgb="00B85C00"/>
      </bottom>
    </border>
    <border>
      <bottom style="thin">
        <color rgb="00D5DDE5"/>
      </bottom>
    </border>
    <border>
      <left style="thin">
        <color rgb="00D5DDE5"/>
      </left>
      <right style="thin">
        <color rgb="00D5DDE5"/>
      </right>
      <top style="thin">
        <color rgb="00D5DDE5"/>
      </top>
      <bottom style="thin">
        <color rgb="00D5DDE5"/>
      </bottom>
    </border>
    <border>
      <left style="thick">
        <color rgb="00FFFFFF"/>
      </left>
      <right style="thick">
        <color rgb="00FFFFFF"/>
      </right>
    </border>
    <border>
      <left style="thin">
        <color rgb="00FFFFFF"/>
      </left>
      <right style="thin">
        <color rgb="00FFFFFF"/>
      </right>
      <bottom style="medium">
        <color rgb="00B85C00"/>
      </bottom>
    </border>
    <border>
      <left/>
      <right/>
      <top/>
      <bottom style="thin">
        <color rgb="00D5DDE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indent="1"/>
    </xf>
    <xf numFmtId="0" fontId="0" fillId="4" borderId="0" applyAlignment="1" pivotButton="0" quotePrefix="0" xfId="0">
      <alignment vertical="center" wrapText="1" indent="1"/>
    </xf>
    <xf numFmtId="0" fontId="0" fillId="4" borderId="0" pivotButton="0" quotePrefix="0" xfId="0"/>
    <xf numFmtId="0" fontId="3" fillId="0" borderId="1" applyAlignment="1" pivotButton="0" quotePrefix="0" xfId="0">
      <alignment vertical="bottom"/>
    </xf>
    <xf numFmtId="0" fontId="0" fillId="0" borderId="1" pivotButton="0" quotePrefix="0" xfId="0"/>
    <xf numFmtId="0" fontId="4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 indent="1"/>
    </xf>
    <xf numFmtId="0" fontId="8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indent="1"/>
    </xf>
    <xf numFmtId="0" fontId="8" fillId="5" borderId="0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 wrapText="1"/>
    </xf>
    <xf numFmtId="49" fontId="7" fillId="0" borderId="3" applyAlignment="1" applyProtection="1" pivotButton="0" quotePrefix="0" xfId="0">
      <alignment vertical="center" wrapText="1"/>
      <protection locked="0" hidden="0"/>
    </xf>
    <xf numFmtId="164" fontId="7" fillId="0" borderId="3" applyAlignment="1" applyProtection="1" pivotButton="0" quotePrefix="0" xfId="0">
      <alignment horizontal="left" vertical="center"/>
      <protection locked="0" hidden="0"/>
    </xf>
    <xf numFmtId="0" fontId="13" fillId="0" borderId="0" applyAlignment="1" pivotButton="0" quotePrefix="0" xfId="0">
      <alignment vertical="top" wrapText="1"/>
    </xf>
    <xf numFmtId="0" fontId="14" fillId="2" borderId="0" applyAlignment="1" pivotButton="0" quotePrefix="0" xfId="0">
      <alignment vertical="center" wrapText="1" indent="1"/>
    </xf>
    <xf numFmtId="0" fontId="15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center"/>
    </xf>
    <xf numFmtId="0" fontId="8" fillId="8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18" fillId="9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center" vertical="bottom"/>
    </xf>
    <xf numFmtId="0" fontId="20" fillId="2" borderId="5" applyAlignment="1" pivotButton="0" quotePrefix="0" xfId="0">
      <alignment horizontal="center" vertical="center" wrapText="1"/>
    </xf>
    <xf numFmtId="0" fontId="20" fillId="5" borderId="5" applyAlignment="1" pivotButton="0" quotePrefix="0" xfId="0">
      <alignment horizontal="center" vertical="center" wrapText="1"/>
    </xf>
    <xf numFmtId="49" fontId="5" fillId="0" borderId="2" applyAlignment="1" applyProtection="1" pivotButton="0" quotePrefix="0" xfId="0">
      <alignment vertical="center"/>
      <protection locked="0" hidden="0"/>
    </xf>
    <xf numFmtId="49" fontId="5" fillId="0" borderId="2" applyAlignment="1" applyProtection="1" pivotButton="0" quotePrefix="0" xfId="0">
      <alignment vertical="center" wrapText="1"/>
      <protection locked="0" hidden="0"/>
    </xf>
    <xf numFmtId="0" fontId="15" fillId="0" borderId="2" applyAlignment="1" pivotButton="0" quotePrefix="0" xfId="0">
      <alignment vertical="center"/>
    </xf>
    <xf numFmtId="1" fontId="5" fillId="0" borderId="2" applyAlignment="1" applyProtection="1" pivotButton="0" quotePrefix="0" xfId="0">
      <alignment vertical="center"/>
      <protection locked="0" hidden="0"/>
    </xf>
    <xf numFmtId="0" fontId="15" fillId="0" borderId="2" applyAlignment="1" pivotButton="0" quotePrefix="0" xfId="0">
      <alignment vertical="center" wrapText="1"/>
    </xf>
    <xf numFmtId="1" fontId="7" fillId="0" borderId="3" applyAlignment="1" applyProtection="1" pivotButton="0" quotePrefix="0" xfId="0">
      <alignment vertical="center" wrapText="1"/>
      <protection locked="0" hidden="0"/>
    </xf>
    <xf numFmtId="0" fontId="16" fillId="0" borderId="2" applyAlignment="1" pivotButton="0" quotePrefix="0" xfId="0">
      <alignment vertical="center" wrapText="1"/>
    </xf>
    <xf numFmtId="0" fontId="0" fillId="0" borderId="6" pivotButton="0" quotePrefix="0" xfId="0"/>
    <xf numFmtId="0" fontId="15" fillId="10" borderId="2" applyAlignment="1" pivotButton="0" quotePrefix="0" xfId="0">
      <alignment vertical="center" wrapText="1"/>
    </xf>
    <xf numFmtId="0" fontId="22" fillId="0" borderId="0" applyAlignment="1" pivotButton="0" quotePrefix="0" xfId="0">
      <alignment vertical="top" wrapText="1"/>
    </xf>
    <xf numFmtId="0" fontId="17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center" vertical="bottom"/>
    </xf>
    <xf numFmtId="0" fontId="20" fillId="3" borderId="5" applyAlignment="1" pivotButton="0" quotePrefix="0" xfId="0">
      <alignment horizontal="center" vertical="center" wrapText="1"/>
    </xf>
    <xf numFmtId="0" fontId="5" fillId="0" borderId="2" pivotButton="0" quotePrefix="0" xfId="0"/>
  </cellXfs>
  <cellStyles count="1">
    <cellStyle name="Normal" xfId="0" builtinId="0" hidden="0"/>
  </cellStyles>
  <dxfs count="9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ont>
        <b val="1"/>
        <color rgb="001E7B34"/>
      </font>
    </dxf>
    <dxf>
      <fill>
        <patternFill patternType="solid">
          <fgColor rgb="00EBEFF3"/>
        </patternFill>
      </fill>
    </dxf>
    <dxf>
      <font>
        <b val="1"/>
        <color rgb="00FFFFFF"/>
      </font>
      <fill>
        <patternFill patternType="solid">
          <fgColor rgb="007A0019"/>
        </patternFill>
      </fill>
    </dxf>
    <dxf>
      <font>
        <b val="1"/>
        <color rgb="00FFFFFF"/>
      </font>
      <fill>
        <patternFill patternType="solid">
          <fgColor rgb="00B85C00"/>
        </patternFill>
      </fill>
    </dxf>
    <dxf>
      <font>
        <b val="1"/>
        <color rgb="000B3D63"/>
      </font>
      <fill>
        <patternFill patternType="solid">
          <fgColor rgb="00E3ECF4"/>
        </patternFill>
      </fill>
    </dxf>
    <dxf>
      <font>
        <b val="1"/>
        <color rgb="005C4600"/>
      </font>
      <fill>
        <patternFill patternType="solid">
          <fgColor rgb="00FFF4C2"/>
        </patternFill>
      </fill>
    </dxf>
    <dxf>
      <fill>
        <patternFill patternType="solid">
          <fgColor rgb="00F4F7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66" customWidth="1" min="3" max="3"/>
    <col width="12" customWidth="1" min="4" max="4"/>
  </cols>
  <sheetData>
    <row r="1" ht="48" customHeight="1">
      <c r="A1" s="1" t="inlineStr"/>
      <c r="B1" s="2" t="inlineStr">
        <is>
          <t>Ativos e criticidade</t>
        </is>
      </c>
      <c r="D1" s="3" t="n"/>
    </row>
    <row r="2" ht="24" customHeight="1">
      <c r="A2" s="4" t="inlineStr">
        <is>
          <t>PCMD-02  ·  Inventário de ativos com TAG e classificação de criticidade A, B, C ou Pendente.</t>
        </is>
      </c>
    </row>
    <row r="3" ht="29.2" customHeight="1">
      <c r="A3" s="5" t="inlineStr">
        <is>
          <r>
            <rPr>
              <rFont val="Arial"/>
              <b val="1"/>
              <color rgb="005C4600"/>
              <sz val="8"/>
            </rPr>
            <t xml:space="preserve">AVISO  </t>
          </r>
          <r>
            <rPr>
              <rFont val="Arial"/>
              <color rgb="005C4600"/>
              <sz val="8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  <c r="B3" s="6" t="n"/>
      <c r="C3" s="6" t="n"/>
      <c r="D3" s="6" t="n"/>
    </row>
    <row r="5" ht="22" customHeight="1">
      <c r="B5" s="7" t="inlineStr">
        <is>
          <t>Neste arquivo</t>
        </is>
      </c>
      <c r="C5" s="8" t="n"/>
      <c r="D5" s="8" t="n"/>
    </row>
    <row r="6" ht="20" customHeight="1">
      <c r="B6" s="9" t="inlineStr">
        <is>
          <t>Ativos</t>
        </is>
      </c>
      <c r="C6" s="10" t="inlineStr">
        <is>
          <t>Um ativo por linha, com as cinco notas e a classe calculada.</t>
        </is>
      </c>
      <c r="D6" s="11" t="n"/>
    </row>
    <row r="7" ht="20" customHeight="1">
      <c r="B7" s="9" t="inlineStr">
        <is>
          <t>Critérios</t>
        </is>
      </c>
      <c r="C7" s="10" t="inlineStr">
        <is>
          <t>Limites A/B e significado dos níveis 1, 2 e 3 de cada critério.</t>
        </is>
      </c>
      <c r="D7" s="11" t="n"/>
    </row>
    <row r="8" ht="20" customHeight="1">
      <c r="B8" s="9" t="inlineStr">
        <is>
          <t>Setores</t>
        </is>
      </c>
      <c r="C8" s="10" t="inlineStr">
        <is>
          <t>Siglas de setor usadas na TAG.</t>
        </is>
      </c>
      <c r="D8" s="11" t="n"/>
    </row>
    <row r="9" ht="20" customHeight="1">
      <c r="B9" s="9" t="inlineStr">
        <is>
          <t>Listas</t>
        </is>
      </c>
      <c r="C9" s="10" t="inlineStr">
        <is>
          <t>Tipos de equipamento da biblioteca.</t>
        </is>
      </c>
      <c r="D9" s="11" t="n"/>
    </row>
    <row r="11" ht="22" customHeight="1">
      <c r="B11" s="7" t="inlineStr">
        <is>
          <t>Como preencher</t>
        </is>
      </c>
      <c r="C11" s="8" t="n"/>
      <c r="D11" s="8" t="n"/>
    </row>
    <row r="12" ht="22" customHeight="1">
      <c r="A12" s="12" t="n">
        <v>1</v>
      </c>
      <c r="B12" s="13" t="inlineStr">
        <is>
          <t>Cadastre os Setores e confira os limites em Critérios.</t>
        </is>
      </c>
    </row>
    <row r="13" ht="22" customHeight="1">
      <c r="A13" s="12" t="n">
        <v>2</v>
      </c>
      <c r="B13" s="13" t="inlineStr">
        <is>
          <t>Lance um ativo por linha em Ativos, com ID e TAG.</t>
        </is>
      </c>
    </row>
    <row r="14" ht="22" customHeight="1">
      <c r="A14" s="12" t="n">
        <v>3</v>
      </c>
      <c r="B14" s="13" t="inlineStr">
        <is>
          <t>Dê as cinco notas de 1 a 3; a classe aparece sozinha.</t>
        </is>
      </c>
    </row>
    <row r="16" ht="22" customHeight="1">
      <c r="B16" s="7" t="inlineStr">
        <is>
          <t>Legenda</t>
        </is>
      </c>
      <c r="C16" s="8" t="n"/>
      <c r="D16" s="8" t="n"/>
    </row>
    <row r="17" ht="19" customHeight="1">
      <c r="B17" s="14" t="inlineStr">
        <is>
          <t>PREENCHER</t>
        </is>
      </c>
      <c r="C17" s="15" t="inlineStr">
        <is>
          <t>Cabeçalho azul: digite aqui (texto, número ou data).</t>
        </is>
      </c>
    </row>
    <row r="18" ht="19" customHeight="1">
      <c r="B18" s="14" t="inlineStr">
        <is>
          <t>ID</t>
        </is>
      </c>
      <c r="C18" s="15" t="inlineStr">
        <is>
          <t>Identificador técnico estável. Não troque por TAG, nome ou número de linha.</t>
        </is>
      </c>
    </row>
    <row r="19" ht="19" customHeight="1">
      <c r="B19" s="16" t="inlineStr">
        <is>
          <t>AUTOMÁTICO</t>
        </is>
      </c>
      <c r="C19" s="15" t="inlineStr">
        <is>
          <t>Cabeçalho cinza: fórmula. Não digite; recalcula sozinho.</t>
        </is>
      </c>
    </row>
    <row r="20" ht="19" customHeight="1">
      <c r="B20" s="17" t="inlineStr">
        <is>
          <t>ERRO</t>
        </is>
      </c>
      <c r="C20" s="15" t="inlineStr">
        <is>
          <t>Inconsistência a corrigir.</t>
        </is>
      </c>
    </row>
    <row r="21" ht="19" customHeight="1">
      <c r="B21" s="18" t="inlineStr">
        <is>
          <t>Pendente · Verificar</t>
        </is>
      </c>
      <c r="C21" s="15" t="inlineStr">
        <is>
          <t>Falta informação ou precisa de conferência.</t>
        </is>
      </c>
    </row>
    <row r="22" ht="19" customHeight="1">
      <c r="B22" s="19" t="inlineStr">
        <is>
          <t>OK</t>
        </is>
      </c>
      <c r="C22" s="15" t="inlineStr">
        <is>
          <t>Conferência sem problema.</t>
        </is>
      </c>
    </row>
    <row r="24" ht="22" customHeight="1">
      <c r="B24" s="7" t="inlineStr">
        <is>
          <t>Esta emissão</t>
        </is>
      </c>
      <c r="C24" s="8" t="n"/>
      <c r="D24" s="8" t="n"/>
    </row>
    <row r="25" ht="22" customHeight="1">
      <c r="B25" s="20" t="inlineStr">
        <is>
          <t>Origem dos dados</t>
        </is>
      </c>
      <c r="C25" s="21" t="n"/>
    </row>
    <row r="26" ht="22" customHeight="1">
      <c r="B26" s="20" t="inlineStr">
        <is>
          <t>Data de emissão</t>
        </is>
      </c>
      <c r="C26" s="22" t="n"/>
    </row>
    <row r="28" ht="26" customHeight="1">
      <c r="B28" s="23" t="inlineStr">
        <is>
          <t>Modelo 1.0.0 · 23/10/2026 · Thiago Oliveira Lima · pcmdireto@gmail.com · Licença MIT. Sem macros, vínculos externos ou envio de dados. Regras completas, recálculo e como ampliar: COMO-USAR.md.</t>
        </is>
      </c>
    </row>
  </sheetData>
  <mergeCells count="7">
    <mergeCell ref="B28:D28"/>
    <mergeCell ref="B14:D14"/>
    <mergeCell ref="A3:D3"/>
    <mergeCell ref="B13:D13"/>
    <mergeCell ref="A2:D2"/>
    <mergeCell ref="B12:D12"/>
    <mergeCell ref="B1:C1"/>
  </mergeCells>
  <dataValidations count="1">
    <dataValidation sqref="C26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B6" location="'Ativos'!A1" display="Ativos"/>
    <hyperlink ref="B7" location="'Critérios'!A1" display="Critérios"/>
    <hyperlink ref="B8" location="'Setores'!A1" display="Setores"/>
    <hyperlink ref="B9" location="'Listas'!A1" display="Listas"/>
  </hyperlinks>
  <pageMargins left="0.45" right="0.45" top="0.7" bottom="0.85" header="0.3" footer="0.3"/>
  <pageSetup orientation="portrait" paperSize="9" fitToHeight="0" fitToWidth="1" pageOrder="overThenDown"/>
  <headerFooter>
    <oddHeader>&amp;L&amp;"Arial,Bold"&amp;8 PCM Direto · PCMD-02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7" customWidth="1" min="4" max="4"/>
    <col width="16" customWidth="1" min="5" max="5"/>
    <col width="16" customWidth="1" min="6" max="6"/>
    <col width="16" customWidth="1" min="7" max="7"/>
    <col width="9" customWidth="1" min="8" max="8"/>
    <col width="8" customWidth="1" min="9" max="9"/>
    <col width="16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9" customWidth="1" min="16" max="16"/>
    <col width="10" customWidth="1" min="17" max="17"/>
    <col width="10" customWidth="1" min="18" max="18"/>
    <col width="30" customWidth="1" min="19" max="19"/>
  </cols>
  <sheetData>
    <row r="1" ht="32" customHeight="1">
      <c r="A1" s="12" t="inlineStr">
        <is>
          <t>PCMD-02</t>
        </is>
      </c>
      <c r="B1" s="3" t="n"/>
      <c r="C1" s="24" t="inlineStr">
        <is>
          <t>Ativos e criticidade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20" customHeight="1">
      <c r="C2" s="25" t="inlineStr">
        <is>
          <t>Uma linha por ativo. Notas inteiras de 1 a 3; nota vazia deixa a classe Pendente. Limites A/B na aba Critérios.</t>
        </is>
      </c>
    </row>
    <row r="3" ht="29.2" customHeight="1">
      <c r="C3" s="5" t="inlineStr">
        <is>
          <r>
            <rPr>
              <rFont val="Arial"/>
              <b val="1"/>
              <color rgb="005C4600"/>
              <sz val="8"/>
            </rPr>
            <t xml:space="preserve">AVISO  </t>
          </r>
          <r>
            <rPr>
              <rFont val="Arial"/>
              <color rgb="005C4600"/>
              <sz val="8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  <c r="D3" s="6" t="n"/>
      <c r="E3" s="6" t="n"/>
      <c r="F3" s="6" t="n"/>
      <c r="G3" s="6" t="n"/>
    </row>
    <row r="4" ht="20" customHeight="1">
      <c r="A4" s="26">
        <f>IF(COUNTA(A307:A2306)&gt;0,"ATENÇÃO: dados além da linha 306","Linhas: "&amp;COUNTA(A7:A306)&amp;" de 300")</f>
        <v/>
      </c>
      <c r="C4" s="27">
        <f>"Origem: "&amp;IF(pcmd_origem="","não informada",pcmd_origem)&amp;"   ·   Emissão: "&amp;IF(ISNUMBER(pcmd_emissao),RIGHT("0"&amp;DAY(pcmd_emissao),2)&amp;"/"&amp;RIGHT("0"&amp;MONTH(pcmd_emissao),2)&amp;"/"&amp;YEAR(pcmd_emissao),"não informada")</f>
        <v/>
      </c>
      <c r="K4" s="28">
        <f>"A  "&amp;COUNTIF(R7:R306,"A")</f>
        <v/>
      </c>
      <c r="L4" s="29">
        <f>"B  "&amp;COUNTIF(R7:R306,"B")</f>
        <v/>
      </c>
      <c r="M4" s="30">
        <f>"C  "&amp;COUNTIF(R7:R306,"C")</f>
        <v/>
      </c>
      <c r="N4" s="31">
        <f>"Pendente  "&amp;COUNTIF(R7:R306,"Pendente")</f>
        <v/>
      </c>
    </row>
    <row r="5" ht="14" customHeight="1">
      <c r="A5" s="32" t="inlineStr">
        <is>
          <t>ID</t>
        </is>
      </c>
      <c r="B5" s="32" t="inlineStr">
        <is>
          <t>PREENCHER</t>
        </is>
      </c>
      <c r="C5" s="32" t="inlineStr">
        <is>
          <t>PREENCHER</t>
        </is>
      </c>
      <c r="D5" s="32" t="inlineStr">
        <is>
          <t>PREENCHER</t>
        </is>
      </c>
      <c r="E5" s="33" t="inlineStr">
        <is>
          <t>AUTOMÁTICO</t>
        </is>
      </c>
      <c r="F5" s="32" t="inlineStr">
        <is>
          <t>PREENCHER</t>
        </is>
      </c>
      <c r="G5" s="32" t="inlineStr">
        <is>
          <t>PREENCHER</t>
        </is>
      </c>
      <c r="H5" s="32" t="inlineStr">
        <is>
          <t>PREENCHER</t>
        </is>
      </c>
      <c r="I5" s="32" t="inlineStr">
        <is>
          <t>PREENCHER</t>
        </is>
      </c>
      <c r="J5" s="33" t="inlineStr">
        <is>
          <t>AUTOMÁTICO</t>
        </is>
      </c>
      <c r="K5" s="32" t="inlineStr">
        <is>
          <t>PREENCHER</t>
        </is>
      </c>
      <c r="L5" s="32" t="inlineStr">
        <is>
          <t>PREENCHER</t>
        </is>
      </c>
      <c r="M5" s="32" t="inlineStr">
        <is>
          <t>PREENCHER</t>
        </is>
      </c>
      <c r="N5" s="32" t="inlineStr">
        <is>
          <t>PREENCHER</t>
        </is>
      </c>
      <c r="O5" s="32" t="inlineStr">
        <is>
          <t>PREENCHER</t>
        </is>
      </c>
      <c r="P5" s="33" t="inlineStr">
        <is>
          <t>AUTOMÁTICO</t>
        </is>
      </c>
      <c r="Q5" s="33" t="inlineStr">
        <is>
          <t>AUTOMÁTICO</t>
        </is>
      </c>
      <c r="R5" s="33" t="inlineStr">
        <is>
          <t>AUTOMÁTICO</t>
        </is>
      </c>
      <c r="S5" s="33" t="inlineStr">
        <is>
          <t>AUTOMÁTICO</t>
        </is>
      </c>
    </row>
    <row r="6" ht="45.15" customHeight="1">
      <c r="A6" s="34" t="inlineStr">
        <is>
          <t>ID do ativo</t>
        </is>
      </c>
      <c r="B6" s="34" t="inlineStr">
        <is>
          <t>TAG</t>
        </is>
      </c>
      <c r="C6" s="34" t="inlineStr">
        <is>
          <t>Descrição do equipamento</t>
        </is>
      </c>
      <c r="D6" s="34" t="inlineStr">
        <is>
          <t>Tipo (ID)</t>
        </is>
      </c>
      <c r="E6" s="35" t="inlineStr">
        <is>
          <t>Tipo (nome)</t>
        </is>
      </c>
      <c r="F6" s="34" t="inlineStr">
        <is>
          <t>Fabricante</t>
        </is>
      </c>
      <c r="G6" s="34" t="inlineStr">
        <is>
          <t>Modelo</t>
        </is>
      </c>
      <c r="H6" s="34" t="inlineStr">
        <is>
          <t>Setor (sigla)</t>
        </is>
      </c>
      <c r="I6" s="34" t="inlineStr">
        <is>
          <t>Número</t>
        </is>
      </c>
      <c r="J6" s="35" t="inlineStr">
        <is>
          <t>Conferência da TAG</t>
        </is>
      </c>
      <c r="K6" s="34" t="inlineStr">
        <is>
          <t>N1 Segurança (1–3)</t>
        </is>
      </c>
      <c r="L6" s="34" t="inlineStr">
        <is>
          <t>N2 Qualidade (1–3)</t>
        </is>
      </c>
      <c r="M6" s="34" t="inlineStr">
        <is>
          <t>N3 Produção (1–3)</t>
        </is>
      </c>
      <c r="N6" s="34" t="inlineStr">
        <is>
          <t>N4 Frequência de falha (1–3)</t>
        </is>
      </c>
      <c r="O6" s="34" t="inlineStr">
        <is>
          <t>N5 Custo/tempo de reparo (1–3)</t>
        </is>
      </c>
      <c r="P6" s="35" t="inlineStr">
        <is>
          <t>Notas válidas (de 5)</t>
        </is>
      </c>
      <c r="Q6" s="35" t="inlineStr">
        <is>
          <t>Pontuação (5–15)</t>
        </is>
      </c>
      <c r="R6" s="35" t="inlineStr">
        <is>
          <t>Classe</t>
        </is>
      </c>
      <c r="S6" s="35" t="inlineStr">
        <is>
          <t>Orientação</t>
        </is>
      </c>
    </row>
    <row r="7">
      <c r="A7" s="36" t="n"/>
      <c r="B7" s="36" t="n"/>
      <c r="C7" s="37" t="n"/>
      <c r="D7" s="36" t="n"/>
      <c r="E7" s="38">
        <f>IF(D7="","",IFERROR(INDEX(lst_tipo_nome,MATCH(D7,lst_tipo_id,0)),"Tipo não cadastrado em Listas"))</f>
        <v/>
      </c>
      <c r="F7" s="36" t="n"/>
      <c r="G7" s="36" t="n"/>
      <c r="H7" s="36" t="n"/>
      <c r="I7" s="39" t="n"/>
      <c r="J7" s="38">
        <f>IF(OR(B7="",D7="",H7="",I7=""),"",IF(B7=H7&amp;"-"&amp;IFERROR(INDEX(lst_tipo_sigla,MATCH(D7,lst_tipo_id,0)),"???")&amp;"-"&amp;RIGHT("00"&amp;I7,3),"OK","Verificar: TAG difere de setor-sigla-número"))</f>
        <v/>
      </c>
      <c r="K7" s="39" t="n"/>
      <c r="L7" s="39" t="n"/>
      <c r="M7" s="39" t="n"/>
      <c r="N7" s="39" t="n"/>
      <c r="O7" s="39" t="n"/>
      <c r="P7" s="38">
        <f>IF(COUNTA(A7:D7)+COUNTA(F7:I7)+COUNTA(K7:O7)=0,"",IF(ISNUMBER(K7),AND(K7=INT(K7),K7&gt;=1,K7&lt;=3),FALSE)+IF(ISNUMBER(L7),AND(L7=INT(L7),L7&gt;=1,L7&lt;=3),FALSE)+IF(ISNUMBER(M7),AND(M7=INT(M7),M7&gt;=1,M7&lt;=3),FALSE)+IF(ISNUMBER(N7),AND(N7=INT(N7),N7&gt;=1,N7&lt;=3),FALSE)+IF(ISNUMBER(O7),AND(O7=INT(O7),O7&gt;=1,O7&lt;=3),FALSE))</f>
        <v/>
      </c>
      <c r="Q7" s="38">
        <f>IF(P7=5,SUM(K7:O7),"")</f>
        <v/>
      </c>
      <c r="R7" s="38">
        <f>IF(P7="","",IF(P7&lt;5,"Pendente",IF(NOT(cad_limites_ok),"Pendente",IF(K7=3,"A",IF(Q7&gt;=cad_limite_a,"A",IF(Q7&gt;=cad_limite_b,"B","C"))))))</f>
        <v/>
      </c>
      <c r="S7" s="40">
        <f>IF(P7="","",IF(A7="","Pendente: falta o ID do ativo",IF(COUNTIF(at_id,A7)&gt;1,"ERRO: ID do ativo duplicado",IF(COUNTA(K7:O7)&gt;P7,"Pendente: nota inválida (use inteiro de 1 a 3)",IF(P7&lt;5,"Pendente: falta(m) "&amp;(5-P7)&amp;" nota(s)",IF(NOT(cad_limites_ok),"Pendente: corrija os limites A/B em Critérios",IF(K7=3,"A por Segurança = 3","Classe pela soma e limites")))))))</f>
        <v/>
      </c>
    </row>
    <row r="8">
      <c r="A8" s="36" t="n"/>
      <c r="B8" s="36" t="n"/>
      <c r="C8" s="37" t="n"/>
      <c r="D8" s="36" t="n"/>
      <c r="E8" s="38">
        <f>IF(D8="","",IFERROR(INDEX(lst_tipo_nome,MATCH(D8,lst_tipo_id,0)),"Tipo não cadastrado em Listas"))</f>
        <v/>
      </c>
      <c r="F8" s="36" t="n"/>
      <c r="G8" s="36" t="n"/>
      <c r="H8" s="36" t="n"/>
      <c r="I8" s="39" t="n"/>
      <c r="J8" s="38">
        <f>IF(OR(B8="",D8="",H8="",I8=""),"",IF(B8=H8&amp;"-"&amp;IFERROR(INDEX(lst_tipo_sigla,MATCH(D8,lst_tipo_id,0)),"???")&amp;"-"&amp;RIGHT("00"&amp;I8,3),"OK","Verificar: TAG difere de setor-sigla-número"))</f>
        <v/>
      </c>
      <c r="K8" s="39" t="n"/>
      <c r="L8" s="39" t="n"/>
      <c r="M8" s="39" t="n"/>
      <c r="N8" s="39" t="n"/>
      <c r="O8" s="39" t="n"/>
      <c r="P8" s="38">
        <f>IF(COUNTA(A8:D8)+COUNTA(F8:I8)+COUNTA(K8:O8)=0,"",IF(ISNUMBER(K8),AND(K8=INT(K8),K8&gt;=1,K8&lt;=3),FALSE)+IF(ISNUMBER(L8),AND(L8=INT(L8),L8&gt;=1,L8&lt;=3),FALSE)+IF(ISNUMBER(M8),AND(M8=INT(M8),M8&gt;=1,M8&lt;=3),FALSE)+IF(ISNUMBER(N8),AND(N8=INT(N8),N8&gt;=1,N8&lt;=3),FALSE)+IF(ISNUMBER(O8),AND(O8=INT(O8),O8&gt;=1,O8&lt;=3),FALSE))</f>
        <v/>
      </c>
      <c r="Q8" s="38">
        <f>IF(P8=5,SUM(K8:O8),"")</f>
        <v/>
      </c>
      <c r="R8" s="38">
        <f>IF(P8="","",IF(P8&lt;5,"Pendente",IF(NOT(cad_limites_ok),"Pendente",IF(K8=3,"A",IF(Q8&gt;=cad_limite_a,"A",IF(Q8&gt;=cad_limite_b,"B","C"))))))</f>
        <v/>
      </c>
      <c r="S8" s="40">
        <f>IF(P8="","",IF(A8="","Pendente: falta o ID do ativo",IF(COUNTIF(at_id,A8)&gt;1,"ERRO: ID do ativo duplicado",IF(COUNTA(K8:O8)&gt;P8,"Pendente: nota inválida (use inteiro de 1 a 3)",IF(P8&lt;5,"Pendente: falta(m) "&amp;(5-P8)&amp;" nota(s)",IF(NOT(cad_limites_ok),"Pendente: corrija os limites A/B em Critérios",IF(K8=3,"A por Segurança = 3","Classe pela soma e limites")))))))</f>
        <v/>
      </c>
    </row>
    <row r="9">
      <c r="A9" s="36" t="n"/>
      <c r="B9" s="36" t="n"/>
      <c r="C9" s="37" t="n"/>
      <c r="D9" s="36" t="n"/>
      <c r="E9" s="38">
        <f>IF(D9="","",IFERROR(INDEX(lst_tipo_nome,MATCH(D9,lst_tipo_id,0)),"Tipo não cadastrado em Listas"))</f>
        <v/>
      </c>
      <c r="F9" s="36" t="n"/>
      <c r="G9" s="36" t="n"/>
      <c r="H9" s="36" t="n"/>
      <c r="I9" s="39" t="n"/>
      <c r="J9" s="38">
        <f>IF(OR(B9="",D9="",H9="",I9=""),"",IF(B9=H9&amp;"-"&amp;IFERROR(INDEX(lst_tipo_sigla,MATCH(D9,lst_tipo_id,0)),"???")&amp;"-"&amp;RIGHT("00"&amp;I9,3),"OK","Verificar: TAG difere de setor-sigla-número"))</f>
        <v/>
      </c>
      <c r="K9" s="39" t="n"/>
      <c r="L9" s="39" t="n"/>
      <c r="M9" s="39" t="n"/>
      <c r="N9" s="39" t="n"/>
      <c r="O9" s="39" t="n"/>
      <c r="P9" s="38">
        <f>IF(COUNTA(A9:D9)+COUNTA(F9:I9)+COUNTA(K9:O9)=0,"",IF(ISNUMBER(K9),AND(K9=INT(K9),K9&gt;=1,K9&lt;=3),FALSE)+IF(ISNUMBER(L9),AND(L9=INT(L9),L9&gt;=1,L9&lt;=3),FALSE)+IF(ISNUMBER(M9),AND(M9=INT(M9),M9&gt;=1,M9&lt;=3),FALSE)+IF(ISNUMBER(N9),AND(N9=INT(N9),N9&gt;=1,N9&lt;=3),FALSE)+IF(ISNUMBER(O9),AND(O9=INT(O9),O9&gt;=1,O9&lt;=3),FALSE))</f>
        <v/>
      </c>
      <c r="Q9" s="38">
        <f>IF(P9=5,SUM(K9:O9),"")</f>
        <v/>
      </c>
      <c r="R9" s="38">
        <f>IF(P9="","",IF(P9&lt;5,"Pendente",IF(NOT(cad_limites_ok),"Pendente",IF(K9=3,"A",IF(Q9&gt;=cad_limite_a,"A",IF(Q9&gt;=cad_limite_b,"B","C"))))))</f>
        <v/>
      </c>
      <c r="S9" s="40">
        <f>IF(P9="","",IF(A9="","Pendente: falta o ID do ativo",IF(COUNTIF(at_id,A9)&gt;1,"ERRO: ID do ativo duplicado",IF(COUNTA(K9:O9)&gt;P9,"Pendente: nota inválida (use inteiro de 1 a 3)",IF(P9&lt;5,"Pendente: falta(m) "&amp;(5-P9)&amp;" nota(s)",IF(NOT(cad_limites_ok),"Pendente: corrija os limites A/B em Critérios",IF(K9=3,"A por Segurança = 3","Classe pela soma e limites")))))))</f>
        <v/>
      </c>
    </row>
    <row r="10">
      <c r="A10" s="36" t="n"/>
      <c r="B10" s="36" t="n"/>
      <c r="C10" s="37" t="n"/>
      <c r="D10" s="36" t="n"/>
      <c r="E10" s="38">
        <f>IF(D10="","",IFERROR(INDEX(lst_tipo_nome,MATCH(D10,lst_tipo_id,0)),"Tipo não cadastrado em Listas"))</f>
        <v/>
      </c>
      <c r="F10" s="36" t="n"/>
      <c r="G10" s="36" t="n"/>
      <c r="H10" s="36" t="n"/>
      <c r="I10" s="39" t="n"/>
      <c r="J10" s="38">
        <f>IF(OR(B10="",D10="",H10="",I10=""),"",IF(B10=H10&amp;"-"&amp;IFERROR(INDEX(lst_tipo_sigla,MATCH(D10,lst_tipo_id,0)),"???")&amp;"-"&amp;RIGHT("00"&amp;I10,3),"OK","Verificar: TAG difere de setor-sigla-número"))</f>
        <v/>
      </c>
      <c r="K10" s="39" t="n"/>
      <c r="L10" s="39" t="n"/>
      <c r="M10" s="39" t="n"/>
      <c r="N10" s="39" t="n"/>
      <c r="O10" s="39" t="n"/>
      <c r="P10" s="38">
        <f>IF(COUNTA(A10:D10)+COUNTA(F10:I10)+COUNTA(K10:O10)=0,"",IF(ISNUMBER(K10),AND(K10=INT(K10),K10&gt;=1,K10&lt;=3),FALSE)+IF(ISNUMBER(L10),AND(L10=INT(L10),L10&gt;=1,L10&lt;=3),FALSE)+IF(ISNUMBER(M10),AND(M10=INT(M10),M10&gt;=1,M10&lt;=3),FALSE)+IF(ISNUMBER(N10),AND(N10=INT(N10),N10&gt;=1,N10&lt;=3),FALSE)+IF(ISNUMBER(O10),AND(O10=INT(O10),O10&gt;=1,O10&lt;=3),FALSE))</f>
        <v/>
      </c>
      <c r="Q10" s="38">
        <f>IF(P10=5,SUM(K10:O10),"")</f>
        <v/>
      </c>
      <c r="R10" s="38">
        <f>IF(P10="","",IF(P10&lt;5,"Pendente",IF(NOT(cad_limites_ok),"Pendente",IF(K10=3,"A",IF(Q10&gt;=cad_limite_a,"A",IF(Q10&gt;=cad_limite_b,"B","C"))))))</f>
        <v/>
      </c>
      <c r="S10" s="40">
        <f>IF(P10="","",IF(A10="","Pendente: falta o ID do ativo",IF(COUNTIF(at_id,A10)&gt;1,"ERRO: ID do ativo duplicado",IF(COUNTA(K10:O10)&gt;P10,"Pendente: nota inválida (use inteiro de 1 a 3)",IF(P10&lt;5,"Pendente: falta(m) "&amp;(5-P10)&amp;" nota(s)",IF(NOT(cad_limites_ok),"Pendente: corrija os limites A/B em Critérios",IF(K10=3,"A por Segurança = 3","Classe pela soma e limites")))))))</f>
        <v/>
      </c>
    </row>
    <row r="11">
      <c r="A11" s="36" t="n"/>
      <c r="B11" s="36" t="n"/>
      <c r="C11" s="37" t="n"/>
      <c r="D11" s="36" t="n"/>
      <c r="E11" s="38">
        <f>IF(D11="","",IFERROR(INDEX(lst_tipo_nome,MATCH(D11,lst_tipo_id,0)),"Tipo não cadastrado em Listas"))</f>
        <v/>
      </c>
      <c r="F11" s="36" t="n"/>
      <c r="G11" s="36" t="n"/>
      <c r="H11" s="36" t="n"/>
      <c r="I11" s="39" t="n"/>
      <c r="J11" s="38">
        <f>IF(OR(B11="",D11="",H11="",I11=""),"",IF(B11=H11&amp;"-"&amp;IFERROR(INDEX(lst_tipo_sigla,MATCH(D11,lst_tipo_id,0)),"???")&amp;"-"&amp;RIGHT("00"&amp;I11,3),"OK","Verificar: TAG difere de setor-sigla-número"))</f>
        <v/>
      </c>
      <c r="K11" s="39" t="n"/>
      <c r="L11" s="39" t="n"/>
      <c r="M11" s="39" t="n"/>
      <c r="N11" s="39" t="n"/>
      <c r="O11" s="39" t="n"/>
      <c r="P11" s="38">
        <f>IF(COUNTA(A11:D11)+COUNTA(F11:I11)+COUNTA(K11:O11)=0,"",IF(ISNUMBER(K11),AND(K11=INT(K11),K11&gt;=1,K11&lt;=3),FALSE)+IF(ISNUMBER(L11),AND(L11=INT(L11),L11&gt;=1,L11&lt;=3),FALSE)+IF(ISNUMBER(M11),AND(M11=INT(M11),M11&gt;=1,M11&lt;=3),FALSE)+IF(ISNUMBER(N11),AND(N11=INT(N11),N11&gt;=1,N11&lt;=3),FALSE)+IF(ISNUMBER(O11),AND(O11=INT(O11),O11&gt;=1,O11&lt;=3),FALSE))</f>
        <v/>
      </c>
      <c r="Q11" s="38">
        <f>IF(P11=5,SUM(K11:O11),"")</f>
        <v/>
      </c>
      <c r="R11" s="38">
        <f>IF(P11="","",IF(P11&lt;5,"Pendente",IF(NOT(cad_limites_ok),"Pendente",IF(K11=3,"A",IF(Q11&gt;=cad_limite_a,"A",IF(Q11&gt;=cad_limite_b,"B","C"))))))</f>
        <v/>
      </c>
      <c r="S11" s="40">
        <f>IF(P11="","",IF(A11="","Pendente: falta o ID do ativo",IF(COUNTIF(at_id,A11)&gt;1,"ERRO: ID do ativo duplicado",IF(COUNTA(K11:O11)&gt;P11,"Pendente: nota inválida (use inteiro de 1 a 3)",IF(P11&lt;5,"Pendente: falta(m) "&amp;(5-P11)&amp;" nota(s)",IF(NOT(cad_limites_ok),"Pendente: corrija os limites A/B em Critérios",IF(K11=3,"A por Segurança = 3","Classe pela soma e limites")))))))</f>
        <v/>
      </c>
    </row>
    <row r="12">
      <c r="A12" s="36" t="n"/>
      <c r="B12" s="36" t="n"/>
      <c r="C12" s="37" t="n"/>
      <c r="D12" s="36" t="n"/>
      <c r="E12" s="38">
        <f>IF(D12="","",IFERROR(INDEX(lst_tipo_nome,MATCH(D12,lst_tipo_id,0)),"Tipo não cadastrado em Listas"))</f>
        <v/>
      </c>
      <c r="F12" s="36" t="n"/>
      <c r="G12" s="36" t="n"/>
      <c r="H12" s="36" t="n"/>
      <c r="I12" s="39" t="n"/>
      <c r="J12" s="38">
        <f>IF(OR(B12="",D12="",H12="",I12=""),"",IF(B12=H12&amp;"-"&amp;IFERROR(INDEX(lst_tipo_sigla,MATCH(D12,lst_tipo_id,0)),"???")&amp;"-"&amp;RIGHT("00"&amp;I12,3),"OK","Verificar: TAG difere de setor-sigla-número"))</f>
        <v/>
      </c>
      <c r="K12" s="39" t="n"/>
      <c r="L12" s="39" t="n"/>
      <c r="M12" s="39" t="n"/>
      <c r="N12" s="39" t="n"/>
      <c r="O12" s="39" t="n"/>
      <c r="P12" s="38">
        <f>IF(COUNTA(A12:D12)+COUNTA(F12:I12)+COUNTA(K12:O12)=0,"",IF(ISNUMBER(K12),AND(K12=INT(K12),K12&gt;=1,K12&lt;=3),FALSE)+IF(ISNUMBER(L12),AND(L12=INT(L12),L12&gt;=1,L12&lt;=3),FALSE)+IF(ISNUMBER(M12),AND(M12=INT(M12),M12&gt;=1,M12&lt;=3),FALSE)+IF(ISNUMBER(N12),AND(N12=INT(N12),N12&gt;=1,N12&lt;=3),FALSE)+IF(ISNUMBER(O12),AND(O12=INT(O12),O12&gt;=1,O12&lt;=3),FALSE))</f>
        <v/>
      </c>
      <c r="Q12" s="38">
        <f>IF(P12=5,SUM(K12:O12),"")</f>
        <v/>
      </c>
      <c r="R12" s="38">
        <f>IF(P12="","",IF(P12&lt;5,"Pendente",IF(NOT(cad_limites_ok),"Pendente",IF(K12=3,"A",IF(Q12&gt;=cad_limite_a,"A",IF(Q12&gt;=cad_limite_b,"B","C"))))))</f>
        <v/>
      </c>
      <c r="S12" s="40">
        <f>IF(P12="","",IF(A12="","Pendente: falta o ID do ativo",IF(COUNTIF(at_id,A12)&gt;1,"ERRO: ID do ativo duplicado",IF(COUNTA(K12:O12)&gt;P12,"Pendente: nota inválida (use inteiro de 1 a 3)",IF(P12&lt;5,"Pendente: falta(m) "&amp;(5-P12)&amp;" nota(s)",IF(NOT(cad_limites_ok),"Pendente: corrija os limites A/B em Critérios",IF(K12=3,"A por Segurança = 3","Classe pela soma e limites")))))))</f>
        <v/>
      </c>
    </row>
    <row r="13">
      <c r="A13" s="36" t="n"/>
      <c r="B13" s="36" t="n"/>
      <c r="C13" s="37" t="n"/>
      <c r="D13" s="36" t="n"/>
      <c r="E13" s="38">
        <f>IF(D13="","",IFERROR(INDEX(lst_tipo_nome,MATCH(D13,lst_tipo_id,0)),"Tipo não cadastrado em Listas"))</f>
        <v/>
      </c>
      <c r="F13" s="36" t="n"/>
      <c r="G13" s="36" t="n"/>
      <c r="H13" s="36" t="n"/>
      <c r="I13" s="39" t="n"/>
      <c r="J13" s="38">
        <f>IF(OR(B13="",D13="",H13="",I13=""),"",IF(B13=H13&amp;"-"&amp;IFERROR(INDEX(lst_tipo_sigla,MATCH(D13,lst_tipo_id,0)),"???")&amp;"-"&amp;RIGHT("00"&amp;I13,3),"OK","Verificar: TAG difere de setor-sigla-número"))</f>
        <v/>
      </c>
      <c r="K13" s="39" t="n"/>
      <c r="L13" s="39" t="n"/>
      <c r="M13" s="39" t="n"/>
      <c r="N13" s="39" t="n"/>
      <c r="O13" s="39" t="n"/>
      <c r="P13" s="38">
        <f>IF(COUNTA(A13:D13)+COUNTA(F13:I13)+COUNTA(K13:O13)=0,"",IF(ISNUMBER(K13),AND(K13=INT(K13),K13&gt;=1,K13&lt;=3),FALSE)+IF(ISNUMBER(L13),AND(L13=INT(L13),L13&gt;=1,L13&lt;=3),FALSE)+IF(ISNUMBER(M13),AND(M13=INT(M13),M13&gt;=1,M13&lt;=3),FALSE)+IF(ISNUMBER(N13),AND(N13=INT(N13),N13&gt;=1,N13&lt;=3),FALSE)+IF(ISNUMBER(O13),AND(O13=INT(O13),O13&gt;=1,O13&lt;=3),FALSE))</f>
        <v/>
      </c>
      <c r="Q13" s="38">
        <f>IF(P13=5,SUM(K13:O13),"")</f>
        <v/>
      </c>
      <c r="R13" s="38">
        <f>IF(P13="","",IF(P13&lt;5,"Pendente",IF(NOT(cad_limites_ok),"Pendente",IF(K13=3,"A",IF(Q13&gt;=cad_limite_a,"A",IF(Q13&gt;=cad_limite_b,"B","C"))))))</f>
        <v/>
      </c>
      <c r="S13" s="40">
        <f>IF(P13="","",IF(A13="","Pendente: falta o ID do ativo",IF(COUNTIF(at_id,A13)&gt;1,"ERRO: ID do ativo duplicado",IF(COUNTA(K13:O13)&gt;P13,"Pendente: nota inválida (use inteiro de 1 a 3)",IF(P13&lt;5,"Pendente: falta(m) "&amp;(5-P13)&amp;" nota(s)",IF(NOT(cad_limites_ok),"Pendente: corrija os limites A/B em Critérios",IF(K13=3,"A por Segurança = 3","Classe pela soma e limites")))))))</f>
        <v/>
      </c>
    </row>
    <row r="14">
      <c r="A14" s="36" t="n"/>
      <c r="B14" s="36" t="n"/>
      <c r="C14" s="37" t="n"/>
      <c r="D14" s="36" t="n"/>
      <c r="E14" s="38">
        <f>IF(D14="","",IFERROR(INDEX(lst_tipo_nome,MATCH(D14,lst_tipo_id,0)),"Tipo não cadastrado em Listas"))</f>
        <v/>
      </c>
      <c r="F14" s="36" t="n"/>
      <c r="G14" s="36" t="n"/>
      <c r="H14" s="36" t="n"/>
      <c r="I14" s="39" t="n"/>
      <c r="J14" s="38">
        <f>IF(OR(B14="",D14="",H14="",I14=""),"",IF(B14=H14&amp;"-"&amp;IFERROR(INDEX(lst_tipo_sigla,MATCH(D14,lst_tipo_id,0)),"???")&amp;"-"&amp;RIGHT("00"&amp;I14,3),"OK","Verificar: TAG difere de setor-sigla-número"))</f>
        <v/>
      </c>
      <c r="K14" s="39" t="n"/>
      <c r="L14" s="39" t="n"/>
      <c r="M14" s="39" t="n"/>
      <c r="N14" s="39" t="n"/>
      <c r="O14" s="39" t="n"/>
      <c r="P14" s="38">
        <f>IF(COUNTA(A14:D14)+COUNTA(F14:I14)+COUNTA(K14:O14)=0,"",IF(ISNUMBER(K14),AND(K14=INT(K14),K14&gt;=1,K14&lt;=3),FALSE)+IF(ISNUMBER(L14),AND(L14=INT(L14),L14&gt;=1,L14&lt;=3),FALSE)+IF(ISNUMBER(M14),AND(M14=INT(M14),M14&gt;=1,M14&lt;=3),FALSE)+IF(ISNUMBER(N14),AND(N14=INT(N14),N14&gt;=1,N14&lt;=3),FALSE)+IF(ISNUMBER(O14),AND(O14=INT(O14),O14&gt;=1,O14&lt;=3),FALSE))</f>
        <v/>
      </c>
      <c r="Q14" s="38">
        <f>IF(P14=5,SUM(K14:O14),"")</f>
        <v/>
      </c>
      <c r="R14" s="38">
        <f>IF(P14="","",IF(P14&lt;5,"Pendente",IF(NOT(cad_limites_ok),"Pendente",IF(K14=3,"A",IF(Q14&gt;=cad_limite_a,"A",IF(Q14&gt;=cad_limite_b,"B","C"))))))</f>
        <v/>
      </c>
      <c r="S14" s="40">
        <f>IF(P14="","",IF(A14="","Pendente: falta o ID do ativo",IF(COUNTIF(at_id,A14)&gt;1,"ERRO: ID do ativo duplicado",IF(COUNTA(K14:O14)&gt;P14,"Pendente: nota inválida (use inteiro de 1 a 3)",IF(P14&lt;5,"Pendente: falta(m) "&amp;(5-P14)&amp;" nota(s)",IF(NOT(cad_limites_ok),"Pendente: corrija os limites A/B em Critérios",IF(K14=3,"A por Segurança = 3","Classe pela soma e limites")))))))</f>
        <v/>
      </c>
    </row>
    <row r="15">
      <c r="A15" s="36" t="n"/>
      <c r="B15" s="36" t="n"/>
      <c r="C15" s="37" t="n"/>
      <c r="D15" s="36" t="n"/>
      <c r="E15" s="38">
        <f>IF(D15="","",IFERROR(INDEX(lst_tipo_nome,MATCH(D15,lst_tipo_id,0)),"Tipo não cadastrado em Listas"))</f>
        <v/>
      </c>
      <c r="F15" s="36" t="n"/>
      <c r="G15" s="36" t="n"/>
      <c r="H15" s="36" t="n"/>
      <c r="I15" s="39" t="n"/>
      <c r="J15" s="38">
        <f>IF(OR(B15="",D15="",H15="",I15=""),"",IF(B15=H15&amp;"-"&amp;IFERROR(INDEX(lst_tipo_sigla,MATCH(D15,lst_tipo_id,0)),"???")&amp;"-"&amp;RIGHT("00"&amp;I15,3),"OK","Verificar: TAG difere de setor-sigla-número"))</f>
        <v/>
      </c>
      <c r="K15" s="39" t="n"/>
      <c r="L15" s="39" t="n"/>
      <c r="M15" s="39" t="n"/>
      <c r="N15" s="39" t="n"/>
      <c r="O15" s="39" t="n"/>
      <c r="P15" s="38">
        <f>IF(COUNTA(A15:D15)+COUNTA(F15:I15)+COUNTA(K15:O15)=0,"",IF(ISNUMBER(K15),AND(K15=INT(K15),K15&gt;=1,K15&lt;=3),FALSE)+IF(ISNUMBER(L15),AND(L15=INT(L15),L15&gt;=1,L15&lt;=3),FALSE)+IF(ISNUMBER(M15),AND(M15=INT(M15),M15&gt;=1,M15&lt;=3),FALSE)+IF(ISNUMBER(N15),AND(N15=INT(N15),N15&gt;=1,N15&lt;=3),FALSE)+IF(ISNUMBER(O15),AND(O15=INT(O15),O15&gt;=1,O15&lt;=3),FALSE))</f>
        <v/>
      </c>
      <c r="Q15" s="38">
        <f>IF(P15=5,SUM(K15:O15),"")</f>
        <v/>
      </c>
      <c r="R15" s="38">
        <f>IF(P15="","",IF(P15&lt;5,"Pendente",IF(NOT(cad_limites_ok),"Pendente",IF(K15=3,"A",IF(Q15&gt;=cad_limite_a,"A",IF(Q15&gt;=cad_limite_b,"B","C"))))))</f>
        <v/>
      </c>
      <c r="S15" s="40">
        <f>IF(P15="","",IF(A15="","Pendente: falta o ID do ativo",IF(COUNTIF(at_id,A15)&gt;1,"ERRO: ID do ativo duplicado",IF(COUNTA(K15:O15)&gt;P15,"Pendente: nota inválida (use inteiro de 1 a 3)",IF(P15&lt;5,"Pendente: falta(m) "&amp;(5-P15)&amp;" nota(s)",IF(NOT(cad_limites_ok),"Pendente: corrija os limites A/B em Critérios",IF(K15=3,"A por Segurança = 3","Classe pela soma e limites")))))))</f>
        <v/>
      </c>
    </row>
    <row r="16">
      <c r="A16" s="36" t="n"/>
      <c r="B16" s="36" t="n"/>
      <c r="C16" s="37" t="n"/>
      <c r="D16" s="36" t="n"/>
      <c r="E16" s="38">
        <f>IF(D16="","",IFERROR(INDEX(lst_tipo_nome,MATCH(D16,lst_tipo_id,0)),"Tipo não cadastrado em Listas"))</f>
        <v/>
      </c>
      <c r="F16" s="36" t="n"/>
      <c r="G16" s="36" t="n"/>
      <c r="H16" s="36" t="n"/>
      <c r="I16" s="39" t="n"/>
      <c r="J16" s="38">
        <f>IF(OR(B16="",D16="",H16="",I16=""),"",IF(B16=H16&amp;"-"&amp;IFERROR(INDEX(lst_tipo_sigla,MATCH(D16,lst_tipo_id,0)),"???")&amp;"-"&amp;RIGHT("00"&amp;I16,3),"OK","Verificar: TAG difere de setor-sigla-número"))</f>
        <v/>
      </c>
      <c r="K16" s="39" t="n"/>
      <c r="L16" s="39" t="n"/>
      <c r="M16" s="39" t="n"/>
      <c r="N16" s="39" t="n"/>
      <c r="O16" s="39" t="n"/>
      <c r="P16" s="38">
        <f>IF(COUNTA(A16:D16)+COUNTA(F16:I16)+COUNTA(K16:O16)=0,"",IF(ISNUMBER(K16),AND(K16=INT(K16),K16&gt;=1,K16&lt;=3),FALSE)+IF(ISNUMBER(L16),AND(L16=INT(L16),L16&gt;=1,L16&lt;=3),FALSE)+IF(ISNUMBER(M16),AND(M16=INT(M16),M16&gt;=1,M16&lt;=3),FALSE)+IF(ISNUMBER(N16),AND(N16=INT(N16),N16&gt;=1,N16&lt;=3),FALSE)+IF(ISNUMBER(O16),AND(O16=INT(O16),O16&gt;=1,O16&lt;=3),FALSE))</f>
        <v/>
      </c>
      <c r="Q16" s="38">
        <f>IF(P16=5,SUM(K16:O16),"")</f>
        <v/>
      </c>
      <c r="R16" s="38">
        <f>IF(P16="","",IF(P16&lt;5,"Pendente",IF(NOT(cad_limites_ok),"Pendente",IF(K16=3,"A",IF(Q16&gt;=cad_limite_a,"A",IF(Q16&gt;=cad_limite_b,"B","C"))))))</f>
        <v/>
      </c>
      <c r="S16" s="40">
        <f>IF(P16="","",IF(A16="","Pendente: falta o ID do ativo",IF(COUNTIF(at_id,A16)&gt;1,"ERRO: ID do ativo duplicado",IF(COUNTA(K16:O16)&gt;P16,"Pendente: nota inválida (use inteiro de 1 a 3)",IF(P16&lt;5,"Pendente: falta(m) "&amp;(5-P16)&amp;" nota(s)",IF(NOT(cad_limites_ok),"Pendente: corrija os limites A/B em Critérios",IF(K16=3,"A por Segurança = 3","Classe pela soma e limites")))))))</f>
        <v/>
      </c>
    </row>
    <row r="17">
      <c r="A17" s="36" t="n"/>
      <c r="B17" s="36" t="n"/>
      <c r="C17" s="37" t="n"/>
      <c r="D17" s="36" t="n"/>
      <c r="E17" s="38">
        <f>IF(D17="","",IFERROR(INDEX(lst_tipo_nome,MATCH(D17,lst_tipo_id,0)),"Tipo não cadastrado em Listas"))</f>
        <v/>
      </c>
      <c r="F17" s="36" t="n"/>
      <c r="G17" s="36" t="n"/>
      <c r="H17" s="36" t="n"/>
      <c r="I17" s="39" t="n"/>
      <c r="J17" s="38">
        <f>IF(OR(B17="",D17="",H17="",I17=""),"",IF(B17=H17&amp;"-"&amp;IFERROR(INDEX(lst_tipo_sigla,MATCH(D17,lst_tipo_id,0)),"???")&amp;"-"&amp;RIGHT("00"&amp;I17,3),"OK","Verificar: TAG difere de setor-sigla-número"))</f>
        <v/>
      </c>
      <c r="K17" s="39" t="n"/>
      <c r="L17" s="39" t="n"/>
      <c r="M17" s="39" t="n"/>
      <c r="N17" s="39" t="n"/>
      <c r="O17" s="39" t="n"/>
      <c r="P17" s="38">
        <f>IF(COUNTA(A17:D17)+COUNTA(F17:I17)+COUNTA(K17:O17)=0,"",IF(ISNUMBER(K17),AND(K17=INT(K17),K17&gt;=1,K17&lt;=3),FALSE)+IF(ISNUMBER(L17),AND(L17=INT(L17),L17&gt;=1,L17&lt;=3),FALSE)+IF(ISNUMBER(M17),AND(M17=INT(M17),M17&gt;=1,M17&lt;=3),FALSE)+IF(ISNUMBER(N17),AND(N17=INT(N17),N17&gt;=1,N17&lt;=3),FALSE)+IF(ISNUMBER(O17),AND(O17=INT(O17),O17&gt;=1,O17&lt;=3),FALSE))</f>
        <v/>
      </c>
      <c r="Q17" s="38">
        <f>IF(P17=5,SUM(K17:O17),"")</f>
        <v/>
      </c>
      <c r="R17" s="38">
        <f>IF(P17="","",IF(P17&lt;5,"Pendente",IF(NOT(cad_limites_ok),"Pendente",IF(K17=3,"A",IF(Q17&gt;=cad_limite_a,"A",IF(Q17&gt;=cad_limite_b,"B","C"))))))</f>
        <v/>
      </c>
      <c r="S17" s="40">
        <f>IF(P17="","",IF(A17="","Pendente: falta o ID do ativo",IF(COUNTIF(at_id,A17)&gt;1,"ERRO: ID do ativo duplicado",IF(COUNTA(K17:O17)&gt;P17,"Pendente: nota inválida (use inteiro de 1 a 3)",IF(P17&lt;5,"Pendente: falta(m) "&amp;(5-P17)&amp;" nota(s)",IF(NOT(cad_limites_ok),"Pendente: corrija os limites A/B em Critérios",IF(K17=3,"A por Segurança = 3","Classe pela soma e limites")))))))</f>
        <v/>
      </c>
    </row>
    <row r="18">
      <c r="A18" s="36" t="n"/>
      <c r="B18" s="36" t="n"/>
      <c r="C18" s="37" t="n"/>
      <c r="D18" s="36" t="n"/>
      <c r="E18" s="38">
        <f>IF(D18="","",IFERROR(INDEX(lst_tipo_nome,MATCH(D18,lst_tipo_id,0)),"Tipo não cadastrado em Listas"))</f>
        <v/>
      </c>
      <c r="F18" s="36" t="n"/>
      <c r="G18" s="36" t="n"/>
      <c r="H18" s="36" t="n"/>
      <c r="I18" s="39" t="n"/>
      <c r="J18" s="38">
        <f>IF(OR(B18="",D18="",H18="",I18=""),"",IF(B18=H18&amp;"-"&amp;IFERROR(INDEX(lst_tipo_sigla,MATCH(D18,lst_tipo_id,0)),"???")&amp;"-"&amp;RIGHT("00"&amp;I18,3),"OK","Verificar: TAG difere de setor-sigla-número"))</f>
        <v/>
      </c>
      <c r="K18" s="39" t="n"/>
      <c r="L18" s="39" t="n"/>
      <c r="M18" s="39" t="n"/>
      <c r="N18" s="39" t="n"/>
      <c r="O18" s="39" t="n"/>
      <c r="P18" s="38">
        <f>IF(COUNTA(A18:D18)+COUNTA(F18:I18)+COUNTA(K18:O18)=0,"",IF(ISNUMBER(K18),AND(K18=INT(K18),K18&gt;=1,K18&lt;=3),FALSE)+IF(ISNUMBER(L18),AND(L18=INT(L18),L18&gt;=1,L18&lt;=3),FALSE)+IF(ISNUMBER(M18),AND(M18=INT(M18),M18&gt;=1,M18&lt;=3),FALSE)+IF(ISNUMBER(N18),AND(N18=INT(N18),N18&gt;=1,N18&lt;=3),FALSE)+IF(ISNUMBER(O18),AND(O18=INT(O18),O18&gt;=1,O18&lt;=3),FALSE))</f>
        <v/>
      </c>
      <c r="Q18" s="38">
        <f>IF(P18=5,SUM(K18:O18),"")</f>
        <v/>
      </c>
      <c r="R18" s="38">
        <f>IF(P18="","",IF(P18&lt;5,"Pendente",IF(NOT(cad_limites_ok),"Pendente",IF(K18=3,"A",IF(Q18&gt;=cad_limite_a,"A",IF(Q18&gt;=cad_limite_b,"B","C"))))))</f>
        <v/>
      </c>
      <c r="S18" s="40">
        <f>IF(P18="","",IF(A18="","Pendente: falta o ID do ativo",IF(COUNTIF(at_id,A18)&gt;1,"ERRO: ID do ativo duplicado",IF(COUNTA(K18:O18)&gt;P18,"Pendente: nota inválida (use inteiro de 1 a 3)",IF(P18&lt;5,"Pendente: falta(m) "&amp;(5-P18)&amp;" nota(s)",IF(NOT(cad_limites_ok),"Pendente: corrija os limites A/B em Critérios",IF(K18=3,"A por Segurança = 3","Classe pela soma e limites")))))))</f>
        <v/>
      </c>
    </row>
    <row r="19">
      <c r="A19" s="36" t="n"/>
      <c r="B19" s="36" t="n"/>
      <c r="C19" s="37" t="n"/>
      <c r="D19" s="36" t="n"/>
      <c r="E19" s="38">
        <f>IF(D19="","",IFERROR(INDEX(lst_tipo_nome,MATCH(D19,lst_tipo_id,0)),"Tipo não cadastrado em Listas"))</f>
        <v/>
      </c>
      <c r="F19" s="36" t="n"/>
      <c r="G19" s="36" t="n"/>
      <c r="H19" s="36" t="n"/>
      <c r="I19" s="39" t="n"/>
      <c r="J19" s="38">
        <f>IF(OR(B19="",D19="",H19="",I19=""),"",IF(B19=H19&amp;"-"&amp;IFERROR(INDEX(lst_tipo_sigla,MATCH(D19,lst_tipo_id,0)),"???")&amp;"-"&amp;RIGHT("00"&amp;I19,3),"OK","Verificar: TAG difere de setor-sigla-número"))</f>
        <v/>
      </c>
      <c r="K19" s="39" t="n"/>
      <c r="L19" s="39" t="n"/>
      <c r="M19" s="39" t="n"/>
      <c r="N19" s="39" t="n"/>
      <c r="O19" s="39" t="n"/>
      <c r="P19" s="38">
        <f>IF(COUNTA(A19:D19)+COUNTA(F19:I19)+COUNTA(K19:O19)=0,"",IF(ISNUMBER(K19),AND(K19=INT(K19),K19&gt;=1,K19&lt;=3),FALSE)+IF(ISNUMBER(L19),AND(L19=INT(L19),L19&gt;=1,L19&lt;=3),FALSE)+IF(ISNUMBER(M19),AND(M19=INT(M19),M19&gt;=1,M19&lt;=3),FALSE)+IF(ISNUMBER(N19),AND(N19=INT(N19),N19&gt;=1,N19&lt;=3),FALSE)+IF(ISNUMBER(O19),AND(O19=INT(O19),O19&gt;=1,O19&lt;=3),FALSE))</f>
        <v/>
      </c>
      <c r="Q19" s="38">
        <f>IF(P19=5,SUM(K19:O19),"")</f>
        <v/>
      </c>
      <c r="R19" s="38">
        <f>IF(P19="","",IF(P19&lt;5,"Pendente",IF(NOT(cad_limites_ok),"Pendente",IF(K19=3,"A",IF(Q19&gt;=cad_limite_a,"A",IF(Q19&gt;=cad_limite_b,"B","C"))))))</f>
        <v/>
      </c>
      <c r="S19" s="40">
        <f>IF(P19="","",IF(A19="","Pendente: falta o ID do ativo",IF(COUNTIF(at_id,A19)&gt;1,"ERRO: ID do ativo duplicado",IF(COUNTA(K19:O19)&gt;P19,"Pendente: nota inválida (use inteiro de 1 a 3)",IF(P19&lt;5,"Pendente: falta(m) "&amp;(5-P19)&amp;" nota(s)",IF(NOT(cad_limites_ok),"Pendente: corrija os limites A/B em Critérios",IF(K19=3,"A por Segurança = 3","Classe pela soma e limites")))))))</f>
        <v/>
      </c>
    </row>
    <row r="20">
      <c r="A20" s="36" t="n"/>
      <c r="B20" s="36" t="n"/>
      <c r="C20" s="37" t="n"/>
      <c r="D20" s="36" t="n"/>
      <c r="E20" s="38">
        <f>IF(D20="","",IFERROR(INDEX(lst_tipo_nome,MATCH(D20,lst_tipo_id,0)),"Tipo não cadastrado em Listas"))</f>
        <v/>
      </c>
      <c r="F20" s="36" t="n"/>
      <c r="G20" s="36" t="n"/>
      <c r="H20" s="36" t="n"/>
      <c r="I20" s="39" t="n"/>
      <c r="J20" s="38">
        <f>IF(OR(B20="",D20="",H20="",I20=""),"",IF(B20=H20&amp;"-"&amp;IFERROR(INDEX(lst_tipo_sigla,MATCH(D20,lst_tipo_id,0)),"???")&amp;"-"&amp;RIGHT("00"&amp;I20,3),"OK","Verificar: TAG difere de setor-sigla-número"))</f>
        <v/>
      </c>
      <c r="K20" s="39" t="n"/>
      <c r="L20" s="39" t="n"/>
      <c r="M20" s="39" t="n"/>
      <c r="N20" s="39" t="n"/>
      <c r="O20" s="39" t="n"/>
      <c r="P20" s="38">
        <f>IF(COUNTA(A20:D20)+COUNTA(F20:I20)+COUNTA(K20:O20)=0,"",IF(ISNUMBER(K20),AND(K20=INT(K20),K20&gt;=1,K20&lt;=3),FALSE)+IF(ISNUMBER(L20),AND(L20=INT(L20),L20&gt;=1,L20&lt;=3),FALSE)+IF(ISNUMBER(M20),AND(M20=INT(M20),M20&gt;=1,M20&lt;=3),FALSE)+IF(ISNUMBER(N20),AND(N20=INT(N20),N20&gt;=1,N20&lt;=3),FALSE)+IF(ISNUMBER(O20),AND(O20=INT(O20),O20&gt;=1,O20&lt;=3),FALSE))</f>
        <v/>
      </c>
      <c r="Q20" s="38">
        <f>IF(P20=5,SUM(K20:O20),"")</f>
        <v/>
      </c>
      <c r="R20" s="38">
        <f>IF(P20="","",IF(P20&lt;5,"Pendente",IF(NOT(cad_limites_ok),"Pendente",IF(K20=3,"A",IF(Q20&gt;=cad_limite_a,"A",IF(Q20&gt;=cad_limite_b,"B","C"))))))</f>
        <v/>
      </c>
      <c r="S20" s="40">
        <f>IF(P20="","",IF(A20="","Pendente: falta o ID do ativo",IF(COUNTIF(at_id,A20)&gt;1,"ERRO: ID do ativo duplicado",IF(COUNTA(K20:O20)&gt;P20,"Pendente: nota inválida (use inteiro de 1 a 3)",IF(P20&lt;5,"Pendente: falta(m) "&amp;(5-P20)&amp;" nota(s)",IF(NOT(cad_limites_ok),"Pendente: corrija os limites A/B em Critérios",IF(K20=3,"A por Segurança = 3","Classe pela soma e limites")))))))</f>
        <v/>
      </c>
    </row>
    <row r="21">
      <c r="A21" s="36" t="n"/>
      <c r="B21" s="36" t="n"/>
      <c r="C21" s="37" t="n"/>
      <c r="D21" s="36" t="n"/>
      <c r="E21" s="38">
        <f>IF(D21="","",IFERROR(INDEX(lst_tipo_nome,MATCH(D21,lst_tipo_id,0)),"Tipo não cadastrado em Listas"))</f>
        <v/>
      </c>
      <c r="F21" s="36" t="n"/>
      <c r="G21" s="36" t="n"/>
      <c r="H21" s="36" t="n"/>
      <c r="I21" s="39" t="n"/>
      <c r="J21" s="38">
        <f>IF(OR(B21="",D21="",H21="",I21=""),"",IF(B21=H21&amp;"-"&amp;IFERROR(INDEX(lst_tipo_sigla,MATCH(D21,lst_tipo_id,0)),"???")&amp;"-"&amp;RIGHT("00"&amp;I21,3),"OK","Verificar: TAG difere de setor-sigla-número"))</f>
        <v/>
      </c>
      <c r="K21" s="39" t="n"/>
      <c r="L21" s="39" t="n"/>
      <c r="M21" s="39" t="n"/>
      <c r="N21" s="39" t="n"/>
      <c r="O21" s="39" t="n"/>
      <c r="P21" s="38">
        <f>IF(COUNTA(A21:D21)+COUNTA(F21:I21)+COUNTA(K21:O21)=0,"",IF(ISNUMBER(K21),AND(K21=INT(K21),K21&gt;=1,K21&lt;=3),FALSE)+IF(ISNUMBER(L21),AND(L21=INT(L21),L21&gt;=1,L21&lt;=3),FALSE)+IF(ISNUMBER(M21),AND(M21=INT(M21),M21&gt;=1,M21&lt;=3),FALSE)+IF(ISNUMBER(N21),AND(N21=INT(N21),N21&gt;=1,N21&lt;=3),FALSE)+IF(ISNUMBER(O21),AND(O21=INT(O21),O21&gt;=1,O21&lt;=3),FALSE))</f>
        <v/>
      </c>
      <c r="Q21" s="38">
        <f>IF(P21=5,SUM(K21:O21),"")</f>
        <v/>
      </c>
      <c r="R21" s="38">
        <f>IF(P21="","",IF(P21&lt;5,"Pendente",IF(NOT(cad_limites_ok),"Pendente",IF(K21=3,"A",IF(Q21&gt;=cad_limite_a,"A",IF(Q21&gt;=cad_limite_b,"B","C"))))))</f>
        <v/>
      </c>
      <c r="S21" s="40">
        <f>IF(P21="","",IF(A21="","Pendente: falta o ID do ativo",IF(COUNTIF(at_id,A21)&gt;1,"ERRO: ID do ativo duplicado",IF(COUNTA(K21:O21)&gt;P21,"Pendente: nota inválida (use inteiro de 1 a 3)",IF(P21&lt;5,"Pendente: falta(m) "&amp;(5-P21)&amp;" nota(s)",IF(NOT(cad_limites_ok),"Pendente: corrija os limites A/B em Critérios",IF(K21=3,"A por Segurança = 3","Classe pela soma e limites")))))))</f>
        <v/>
      </c>
    </row>
    <row r="22">
      <c r="A22" s="36" t="n"/>
      <c r="B22" s="36" t="n"/>
      <c r="C22" s="37" t="n"/>
      <c r="D22" s="36" t="n"/>
      <c r="E22" s="38">
        <f>IF(D22="","",IFERROR(INDEX(lst_tipo_nome,MATCH(D22,lst_tipo_id,0)),"Tipo não cadastrado em Listas"))</f>
        <v/>
      </c>
      <c r="F22" s="36" t="n"/>
      <c r="G22" s="36" t="n"/>
      <c r="H22" s="36" t="n"/>
      <c r="I22" s="39" t="n"/>
      <c r="J22" s="38">
        <f>IF(OR(B22="",D22="",H22="",I22=""),"",IF(B22=H22&amp;"-"&amp;IFERROR(INDEX(lst_tipo_sigla,MATCH(D22,lst_tipo_id,0)),"???")&amp;"-"&amp;RIGHT("00"&amp;I22,3),"OK","Verificar: TAG difere de setor-sigla-número"))</f>
        <v/>
      </c>
      <c r="K22" s="39" t="n"/>
      <c r="L22" s="39" t="n"/>
      <c r="M22" s="39" t="n"/>
      <c r="N22" s="39" t="n"/>
      <c r="O22" s="39" t="n"/>
      <c r="P22" s="38">
        <f>IF(COUNTA(A22:D22)+COUNTA(F22:I22)+COUNTA(K22:O22)=0,"",IF(ISNUMBER(K22),AND(K22=INT(K22),K22&gt;=1,K22&lt;=3),FALSE)+IF(ISNUMBER(L22),AND(L22=INT(L22),L22&gt;=1,L22&lt;=3),FALSE)+IF(ISNUMBER(M22),AND(M22=INT(M22),M22&gt;=1,M22&lt;=3),FALSE)+IF(ISNUMBER(N22),AND(N22=INT(N22),N22&gt;=1,N22&lt;=3),FALSE)+IF(ISNUMBER(O22),AND(O22=INT(O22),O22&gt;=1,O22&lt;=3),FALSE))</f>
        <v/>
      </c>
      <c r="Q22" s="38">
        <f>IF(P22=5,SUM(K22:O22),"")</f>
        <v/>
      </c>
      <c r="R22" s="38">
        <f>IF(P22="","",IF(P22&lt;5,"Pendente",IF(NOT(cad_limites_ok),"Pendente",IF(K22=3,"A",IF(Q22&gt;=cad_limite_a,"A",IF(Q22&gt;=cad_limite_b,"B","C"))))))</f>
        <v/>
      </c>
      <c r="S22" s="40">
        <f>IF(P22="","",IF(A22="","Pendente: falta o ID do ativo",IF(COUNTIF(at_id,A22)&gt;1,"ERRO: ID do ativo duplicado",IF(COUNTA(K22:O22)&gt;P22,"Pendente: nota inválida (use inteiro de 1 a 3)",IF(P22&lt;5,"Pendente: falta(m) "&amp;(5-P22)&amp;" nota(s)",IF(NOT(cad_limites_ok),"Pendente: corrija os limites A/B em Critérios",IF(K22=3,"A por Segurança = 3","Classe pela soma e limites")))))))</f>
        <v/>
      </c>
    </row>
    <row r="23">
      <c r="A23" s="36" t="n"/>
      <c r="B23" s="36" t="n"/>
      <c r="C23" s="37" t="n"/>
      <c r="D23" s="36" t="n"/>
      <c r="E23" s="38">
        <f>IF(D23="","",IFERROR(INDEX(lst_tipo_nome,MATCH(D23,lst_tipo_id,0)),"Tipo não cadastrado em Listas"))</f>
        <v/>
      </c>
      <c r="F23" s="36" t="n"/>
      <c r="G23" s="36" t="n"/>
      <c r="H23" s="36" t="n"/>
      <c r="I23" s="39" t="n"/>
      <c r="J23" s="38">
        <f>IF(OR(B23="",D23="",H23="",I23=""),"",IF(B23=H23&amp;"-"&amp;IFERROR(INDEX(lst_tipo_sigla,MATCH(D23,lst_tipo_id,0)),"???")&amp;"-"&amp;RIGHT("00"&amp;I23,3),"OK","Verificar: TAG difere de setor-sigla-número"))</f>
        <v/>
      </c>
      <c r="K23" s="39" t="n"/>
      <c r="L23" s="39" t="n"/>
      <c r="M23" s="39" t="n"/>
      <c r="N23" s="39" t="n"/>
      <c r="O23" s="39" t="n"/>
      <c r="P23" s="38">
        <f>IF(COUNTA(A23:D23)+COUNTA(F23:I23)+COUNTA(K23:O23)=0,"",IF(ISNUMBER(K23),AND(K23=INT(K23),K23&gt;=1,K23&lt;=3),FALSE)+IF(ISNUMBER(L23),AND(L23=INT(L23),L23&gt;=1,L23&lt;=3),FALSE)+IF(ISNUMBER(M23),AND(M23=INT(M23),M23&gt;=1,M23&lt;=3),FALSE)+IF(ISNUMBER(N23),AND(N23=INT(N23),N23&gt;=1,N23&lt;=3),FALSE)+IF(ISNUMBER(O23),AND(O23=INT(O23),O23&gt;=1,O23&lt;=3),FALSE))</f>
        <v/>
      </c>
      <c r="Q23" s="38">
        <f>IF(P23=5,SUM(K23:O23),"")</f>
        <v/>
      </c>
      <c r="R23" s="38">
        <f>IF(P23="","",IF(P23&lt;5,"Pendente",IF(NOT(cad_limites_ok),"Pendente",IF(K23=3,"A",IF(Q23&gt;=cad_limite_a,"A",IF(Q23&gt;=cad_limite_b,"B","C"))))))</f>
        <v/>
      </c>
      <c r="S23" s="40">
        <f>IF(P23="","",IF(A23="","Pendente: falta o ID do ativo",IF(COUNTIF(at_id,A23)&gt;1,"ERRO: ID do ativo duplicado",IF(COUNTA(K23:O23)&gt;P23,"Pendente: nota inválida (use inteiro de 1 a 3)",IF(P23&lt;5,"Pendente: falta(m) "&amp;(5-P23)&amp;" nota(s)",IF(NOT(cad_limites_ok),"Pendente: corrija os limites A/B em Critérios",IF(K23=3,"A por Segurança = 3","Classe pela soma e limites")))))))</f>
        <v/>
      </c>
    </row>
    <row r="24">
      <c r="A24" s="36" t="n"/>
      <c r="B24" s="36" t="n"/>
      <c r="C24" s="37" t="n"/>
      <c r="D24" s="36" t="n"/>
      <c r="E24" s="38">
        <f>IF(D24="","",IFERROR(INDEX(lst_tipo_nome,MATCH(D24,lst_tipo_id,0)),"Tipo não cadastrado em Listas"))</f>
        <v/>
      </c>
      <c r="F24" s="36" t="n"/>
      <c r="G24" s="36" t="n"/>
      <c r="H24" s="36" t="n"/>
      <c r="I24" s="39" t="n"/>
      <c r="J24" s="38">
        <f>IF(OR(B24="",D24="",H24="",I24=""),"",IF(B24=H24&amp;"-"&amp;IFERROR(INDEX(lst_tipo_sigla,MATCH(D24,lst_tipo_id,0)),"???")&amp;"-"&amp;RIGHT("00"&amp;I24,3),"OK","Verificar: TAG difere de setor-sigla-número"))</f>
        <v/>
      </c>
      <c r="K24" s="39" t="n"/>
      <c r="L24" s="39" t="n"/>
      <c r="M24" s="39" t="n"/>
      <c r="N24" s="39" t="n"/>
      <c r="O24" s="39" t="n"/>
      <c r="P24" s="38">
        <f>IF(COUNTA(A24:D24)+COUNTA(F24:I24)+COUNTA(K24:O24)=0,"",IF(ISNUMBER(K24),AND(K24=INT(K24),K24&gt;=1,K24&lt;=3),FALSE)+IF(ISNUMBER(L24),AND(L24=INT(L24),L24&gt;=1,L24&lt;=3),FALSE)+IF(ISNUMBER(M24),AND(M24=INT(M24),M24&gt;=1,M24&lt;=3),FALSE)+IF(ISNUMBER(N24),AND(N24=INT(N24),N24&gt;=1,N24&lt;=3),FALSE)+IF(ISNUMBER(O24),AND(O24=INT(O24),O24&gt;=1,O24&lt;=3),FALSE))</f>
        <v/>
      </c>
      <c r="Q24" s="38">
        <f>IF(P24=5,SUM(K24:O24),"")</f>
        <v/>
      </c>
      <c r="R24" s="38">
        <f>IF(P24="","",IF(P24&lt;5,"Pendente",IF(NOT(cad_limites_ok),"Pendente",IF(K24=3,"A",IF(Q24&gt;=cad_limite_a,"A",IF(Q24&gt;=cad_limite_b,"B","C"))))))</f>
        <v/>
      </c>
      <c r="S24" s="40">
        <f>IF(P24="","",IF(A24="","Pendente: falta o ID do ativo",IF(COUNTIF(at_id,A24)&gt;1,"ERRO: ID do ativo duplicado",IF(COUNTA(K24:O24)&gt;P24,"Pendente: nota inválida (use inteiro de 1 a 3)",IF(P24&lt;5,"Pendente: falta(m) "&amp;(5-P24)&amp;" nota(s)",IF(NOT(cad_limites_ok),"Pendente: corrija os limites A/B em Critérios",IF(K24=3,"A por Segurança = 3","Classe pela soma e limites")))))))</f>
        <v/>
      </c>
    </row>
    <row r="25">
      <c r="A25" s="36" t="n"/>
      <c r="B25" s="36" t="n"/>
      <c r="C25" s="37" t="n"/>
      <c r="D25" s="36" t="n"/>
      <c r="E25" s="38">
        <f>IF(D25="","",IFERROR(INDEX(lst_tipo_nome,MATCH(D25,lst_tipo_id,0)),"Tipo não cadastrado em Listas"))</f>
        <v/>
      </c>
      <c r="F25" s="36" t="n"/>
      <c r="G25" s="36" t="n"/>
      <c r="H25" s="36" t="n"/>
      <c r="I25" s="39" t="n"/>
      <c r="J25" s="38">
        <f>IF(OR(B25="",D25="",H25="",I25=""),"",IF(B25=H25&amp;"-"&amp;IFERROR(INDEX(lst_tipo_sigla,MATCH(D25,lst_tipo_id,0)),"???")&amp;"-"&amp;RIGHT("00"&amp;I25,3),"OK","Verificar: TAG difere de setor-sigla-número"))</f>
        <v/>
      </c>
      <c r="K25" s="39" t="n"/>
      <c r="L25" s="39" t="n"/>
      <c r="M25" s="39" t="n"/>
      <c r="N25" s="39" t="n"/>
      <c r="O25" s="39" t="n"/>
      <c r="P25" s="38">
        <f>IF(COUNTA(A25:D25)+COUNTA(F25:I25)+COUNTA(K25:O25)=0,"",IF(ISNUMBER(K25),AND(K25=INT(K25),K25&gt;=1,K25&lt;=3),FALSE)+IF(ISNUMBER(L25),AND(L25=INT(L25),L25&gt;=1,L25&lt;=3),FALSE)+IF(ISNUMBER(M25),AND(M25=INT(M25),M25&gt;=1,M25&lt;=3),FALSE)+IF(ISNUMBER(N25),AND(N25=INT(N25),N25&gt;=1,N25&lt;=3),FALSE)+IF(ISNUMBER(O25),AND(O25=INT(O25),O25&gt;=1,O25&lt;=3),FALSE))</f>
        <v/>
      </c>
      <c r="Q25" s="38">
        <f>IF(P25=5,SUM(K25:O25),"")</f>
        <v/>
      </c>
      <c r="R25" s="38">
        <f>IF(P25="","",IF(P25&lt;5,"Pendente",IF(NOT(cad_limites_ok),"Pendente",IF(K25=3,"A",IF(Q25&gt;=cad_limite_a,"A",IF(Q25&gt;=cad_limite_b,"B","C"))))))</f>
        <v/>
      </c>
      <c r="S25" s="40">
        <f>IF(P25="","",IF(A25="","Pendente: falta o ID do ativo",IF(COUNTIF(at_id,A25)&gt;1,"ERRO: ID do ativo duplicado",IF(COUNTA(K25:O25)&gt;P25,"Pendente: nota inválida (use inteiro de 1 a 3)",IF(P25&lt;5,"Pendente: falta(m) "&amp;(5-P25)&amp;" nota(s)",IF(NOT(cad_limites_ok),"Pendente: corrija os limites A/B em Critérios",IF(K25=3,"A por Segurança = 3","Classe pela soma e limites")))))))</f>
        <v/>
      </c>
    </row>
    <row r="26">
      <c r="A26" s="36" t="n"/>
      <c r="B26" s="36" t="n"/>
      <c r="C26" s="37" t="n"/>
      <c r="D26" s="36" t="n"/>
      <c r="E26" s="38">
        <f>IF(D26="","",IFERROR(INDEX(lst_tipo_nome,MATCH(D26,lst_tipo_id,0)),"Tipo não cadastrado em Listas"))</f>
        <v/>
      </c>
      <c r="F26" s="36" t="n"/>
      <c r="G26" s="36" t="n"/>
      <c r="H26" s="36" t="n"/>
      <c r="I26" s="39" t="n"/>
      <c r="J26" s="38">
        <f>IF(OR(B26="",D26="",H26="",I26=""),"",IF(B26=H26&amp;"-"&amp;IFERROR(INDEX(lst_tipo_sigla,MATCH(D26,lst_tipo_id,0)),"???")&amp;"-"&amp;RIGHT("00"&amp;I26,3),"OK","Verificar: TAG difere de setor-sigla-número"))</f>
        <v/>
      </c>
      <c r="K26" s="39" t="n"/>
      <c r="L26" s="39" t="n"/>
      <c r="M26" s="39" t="n"/>
      <c r="N26" s="39" t="n"/>
      <c r="O26" s="39" t="n"/>
      <c r="P26" s="38">
        <f>IF(COUNTA(A26:D26)+COUNTA(F26:I26)+COUNTA(K26:O26)=0,"",IF(ISNUMBER(K26),AND(K26=INT(K26),K26&gt;=1,K26&lt;=3),FALSE)+IF(ISNUMBER(L26),AND(L26=INT(L26),L26&gt;=1,L26&lt;=3),FALSE)+IF(ISNUMBER(M26),AND(M26=INT(M26),M26&gt;=1,M26&lt;=3),FALSE)+IF(ISNUMBER(N26),AND(N26=INT(N26),N26&gt;=1,N26&lt;=3),FALSE)+IF(ISNUMBER(O26),AND(O26=INT(O26),O26&gt;=1,O26&lt;=3),FALSE))</f>
        <v/>
      </c>
      <c r="Q26" s="38">
        <f>IF(P26=5,SUM(K26:O26),"")</f>
        <v/>
      </c>
      <c r="R26" s="38">
        <f>IF(P26="","",IF(P26&lt;5,"Pendente",IF(NOT(cad_limites_ok),"Pendente",IF(K26=3,"A",IF(Q26&gt;=cad_limite_a,"A",IF(Q26&gt;=cad_limite_b,"B","C"))))))</f>
        <v/>
      </c>
      <c r="S26" s="40">
        <f>IF(P26="","",IF(A26="","Pendente: falta o ID do ativo",IF(COUNTIF(at_id,A26)&gt;1,"ERRO: ID do ativo duplicado",IF(COUNTA(K26:O26)&gt;P26,"Pendente: nota inválida (use inteiro de 1 a 3)",IF(P26&lt;5,"Pendente: falta(m) "&amp;(5-P26)&amp;" nota(s)",IF(NOT(cad_limites_ok),"Pendente: corrija os limites A/B em Critérios",IF(K26=3,"A por Segurança = 3","Classe pela soma e limites")))))))</f>
        <v/>
      </c>
    </row>
    <row r="27">
      <c r="A27" s="36" t="n"/>
      <c r="B27" s="36" t="n"/>
      <c r="C27" s="37" t="n"/>
      <c r="D27" s="36" t="n"/>
      <c r="E27" s="38">
        <f>IF(D27="","",IFERROR(INDEX(lst_tipo_nome,MATCH(D27,lst_tipo_id,0)),"Tipo não cadastrado em Listas"))</f>
        <v/>
      </c>
      <c r="F27" s="36" t="n"/>
      <c r="G27" s="36" t="n"/>
      <c r="H27" s="36" t="n"/>
      <c r="I27" s="39" t="n"/>
      <c r="J27" s="38">
        <f>IF(OR(B27="",D27="",H27="",I27=""),"",IF(B27=H27&amp;"-"&amp;IFERROR(INDEX(lst_tipo_sigla,MATCH(D27,lst_tipo_id,0)),"???")&amp;"-"&amp;RIGHT("00"&amp;I27,3),"OK","Verificar: TAG difere de setor-sigla-número"))</f>
        <v/>
      </c>
      <c r="K27" s="39" t="n"/>
      <c r="L27" s="39" t="n"/>
      <c r="M27" s="39" t="n"/>
      <c r="N27" s="39" t="n"/>
      <c r="O27" s="39" t="n"/>
      <c r="P27" s="38">
        <f>IF(COUNTA(A27:D27)+COUNTA(F27:I27)+COUNTA(K27:O27)=0,"",IF(ISNUMBER(K27),AND(K27=INT(K27),K27&gt;=1,K27&lt;=3),FALSE)+IF(ISNUMBER(L27),AND(L27=INT(L27),L27&gt;=1,L27&lt;=3),FALSE)+IF(ISNUMBER(M27),AND(M27=INT(M27),M27&gt;=1,M27&lt;=3),FALSE)+IF(ISNUMBER(N27),AND(N27=INT(N27),N27&gt;=1,N27&lt;=3),FALSE)+IF(ISNUMBER(O27),AND(O27=INT(O27),O27&gt;=1,O27&lt;=3),FALSE))</f>
        <v/>
      </c>
      <c r="Q27" s="38">
        <f>IF(P27=5,SUM(K27:O27),"")</f>
        <v/>
      </c>
      <c r="R27" s="38">
        <f>IF(P27="","",IF(P27&lt;5,"Pendente",IF(NOT(cad_limites_ok),"Pendente",IF(K27=3,"A",IF(Q27&gt;=cad_limite_a,"A",IF(Q27&gt;=cad_limite_b,"B","C"))))))</f>
        <v/>
      </c>
      <c r="S27" s="40">
        <f>IF(P27="","",IF(A27="","Pendente: falta o ID do ativo",IF(COUNTIF(at_id,A27)&gt;1,"ERRO: ID do ativo duplicado",IF(COUNTA(K27:O27)&gt;P27,"Pendente: nota inválida (use inteiro de 1 a 3)",IF(P27&lt;5,"Pendente: falta(m) "&amp;(5-P27)&amp;" nota(s)",IF(NOT(cad_limites_ok),"Pendente: corrija os limites A/B em Critérios",IF(K27=3,"A por Segurança = 3","Classe pela soma e limites")))))))</f>
        <v/>
      </c>
    </row>
    <row r="28">
      <c r="A28" s="36" t="n"/>
      <c r="B28" s="36" t="n"/>
      <c r="C28" s="37" t="n"/>
      <c r="D28" s="36" t="n"/>
      <c r="E28" s="38">
        <f>IF(D28="","",IFERROR(INDEX(lst_tipo_nome,MATCH(D28,lst_tipo_id,0)),"Tipo não cadastrado em Listas"))</f>
        <v/>
      </c>
      <c r="F28" s="36" t="n"/>
      <c r="G28" s="36" t="n"/>
      <c r="H28" s="36" t="n"/>
      <c r="I28" s="39" t="n"/>
      <c r="J28" s="38">
        <f>IF(OR(B28="",D28="",H28="",I28=""),"",IF(B28=H28&amp;"-"&amp;IFERROR(INDEX(lst_tipo_sigla,MATCH(D28,lst_tipo_id,0)),"???")&amp;"-"&amp;RIGHT("00"&amp;I28,3),"OK","Verificar: TAG difere de setor-sigla-número"))</f>
        <v/>
      </c>
      <c r="K28" s="39" t="n"/>
      <c r="L28" s="39" t="n"/>
      <c r="M28" s="39" t="n"/>
      <c r="N28" s="39" t="n"/>
      <c r="O28" s="39" t="n"/>
      <c r="P28" s="38">
        <f>IF(COUNTA(A28:D28)+COUNTA(F28:I28)+COUNTA(K28:O28)=0,"",IF(ISNUMBER(K28),AND(K28=INT(K28),K28&gt;=1,K28&lt;=3),FALSE)+IF(ISNUMBER(L28),AND(L28=INT(L28),L28&gt;=1,L28&lt;=3),FALSE)+IF(ISNUMBER(M28),AND(M28=INT(M28),M28&gt;=1,M28&lt;=3),FALSE)+IF(ISNUMBER(N28),AND(N28=INT(N28),N28&gt;=1,N28&lt;=3),FALSE)+IF(ISNUMBER(O28),AND(O28=INT(O28),O28&gt;=1,O28&lt;=3),FALSE))</f>
        <v/>
      </c>
      <c r="Q28" s="38">
        <f>IF(P28=5,SUM(K28:O28),"")</f>
        <v/>
      </c>
      <c r="R28" s="38">
        <f>IF(P28="","",IF(P28&lt;5,"Pendente",IF(NOT(cad_limites_ok),"Pendente",IF(K28=3,"A",IF(Q28&gt;=cad_limite_a,"A",IF(Q28&gt;=cad_limite_b,"B","C"))))))</f>
        <v/>
      </c>
      <c r="S28" s="40">
        <f>IF(P28="","",IF(A28="","Pendente: falta o ID do ativo",IF(COUNTIF(at_id,A28)&gt;1,"ERRO: ID do ativo duplicado",IF(COUNTA(K28:O28)&gt;P28,"Pendente: nota inválida (use inteiro de 1 a 3)",IF(P28&lt;5,"Pendente: falta(m) "&amp;(5-P28)&amp;" nota(s)",IF(NOT(cad_limites_ok),"Pendente: corrija os limites A/B em Critérios",IF(K28=3,"A por Segurança = 3","Classe pela soma e limites")))))))</f>
        <v/>
      </c>
    </row>
    <row r="29">
      <c r="A29" s="36" t="n"/>
      <c r="B29" s="36" t="n"/>
      <c r="C29" s="37" t="n"/>
      <c r="D29" s="36" t="n"/>
      <c r="E29" s="38">
        <f>IF(D29="","",IFERROR(INDEX(lst_tipo_nome,MATCH(D29,lst_tipo_id,0)),"Tipo não cadastrado em Listas"))</f>
        <v/>
      </c>
      <c r="F29" s="36" t="n"/>
      <c r="G29" s="36" t="n"/>
      <c r="H29" s="36" t="n"/>
      <c r="I29" s="39" t="n"/>
      <c r="J29" s="38">
        <f>IF(OR(B29="",D29="",H29="",I29=""),"",IF(B29=H29&amp;"-"&amp;IFERROR(INDEX(lst_tipo_sigla,MATCH(D29,lst_tipo_id,0)),"???")&amp;"-"&amp;RIGHT("00"&amp;I29,3),"OK","Verificar: TAG difere de setor-sigla-número"))</f>
        <v/>
      </c>
      <c r="K29" s="39" t="n"/>
      <c r="L29" s="39" t="n"/>
      <c r="M29" s="39" t="n"/>
      <c r="N29" s="39" t="n"/>
      <c r="O29" s="39" t="n"/>
      <c r="P29" s="38">
        <f>IF(COUNTA(A29:D29)+COUNTA(F29:I29)+COUNTA(K29:O29)=0,"",IF(ISNUMBER(K29),AND(K29=INT(K29),K29&gt;=1,K29&lt;=3),FALSE)+IF(ISNUMBER(L29),AND(L29=INT(L29),L29&gt;=1,L29&lt;=3),FALSE)+IF(ISNUMBER(M29),AND(M29=INT(M29),M29&gt;=1,M29&lt;=3),FALSE)+IF(ISNUMBER(N29),AND(N29=INT(N29),N29&gt;=1,N29&lt;=3),FALSE)+IF(ISNUMBER(O29),AND(O29=INT(O29),O29&gt;=1,O29&lt;=3),FALSE))</f>
        <v/>
      </c>
      <c r="Q29" s="38">
        <f>IF(P29=5,SUM(K29:O29),"")</f>
        <v/>
      </c>
      <c r="R29" s="38">
        <f>IF(P29="","",IF(P29&lt;5,"Pendente",IF(NOT(cad_limites_ok),"Pendente",IF(K29=3,"A",IF(Q29&gt;=cad_limite_a,"A",IF(Q29&gt;=cad_limite_b,"B","C"))))))</f>
        <v/>
      </c>
      <c r="S29" s="40">
        <f>IF(P29="","",IF(A29="","Pendente: falta o ID do ativo",IF(COUNTIF(at_id,A29)&gt;1,"ERRO: ID do ativo duplicado",IF(COUNTA(K29:O29)&gt;P29,"Pendente: nota inválida (use inteiro de 1 a 3)",IF(P29&lt;5,"Pendente: falta(m) "&amp;(5-P29)&amp;" nota(s)",IF(NOT(cad_limites_ok),"Pendente: corrija os limites A/B em Critérios",IF(K29=3,"A por Segurança = 3","Classe pela soma e limites")))))))</f>
        <v/>
      </c>
    </row>
    <row r="30">
      <c r="A30" s="36" t="n"/>
      <c r="B30" s="36" t="n"/>
      <c r="C30" s="37" t="n"/>
      <c r="D30" s="36" t="n"/>
      <c r="E30" s="38">
        <f>IF(D30="","",IFERROR(INDEX(lst_tipo_nome,MATCH(D30,lst_tipo_id,0)),"Tipo não cadastrado em Listas"))</f>
        <v/>
      </c>
      <c r="F30" s="36" t="n"/>
      <c r="G30" s="36" t="n"/>
      <c r="H30" s="36" t="n"/>
      <c r="I30" s="39" t="n"/>
      <c r="J30" s="38">
        <f>IF(OR(B30="",D30="",H30="",I30=""),"",IF(B30=H30&amp;"-"&amp;IFERROR(INDEX(lst_tipo_sigla,MATCH(D30,lst_tipo_id,0)),"???")&amp;"-"&amp;RIGHT("00"&amp;I30,3),"OK","Verificar: TAG difere de setor-sigla-número"))</f>
        <v/>
      </c>
      <c r="K30" s="39" t="n"/>
      <c r="L30" s="39" t="n"/>
      <c r="M30" s="39" t="n"/>
      <c r="N30" s="39" t="n"/>
      <c r="O30" s="39" t="n"/>
      <c r="P30" s="38">
        <f>IF(COUNTA(A30:D30)+COUNTA(F30:I30)+COUNTA(K30:O30)=0,"",IF(ISNUMBER(K30),AND(K30=INT(K30),K30&gt;=1,K30&lt;=3),FALSE)+IF(ISNUMBER(L30),AND(L30=INT(L30),L30&gt;=1,L30&lt;=3),FALSE)+IF(ISNUMBER(M30),AND(M30=INT(M30),M30&gt;=1,M30&lt;=3),FALSE)+IF(ISNUMBER(N30),AND(N30=INT(N30),N30&gt;=1,N30&lt;=3),FALSE)+IF(ISNUMBER(O30),AND(O30=INT(O30),O30&gt;=1,O30&lt;=3),FALSE))</f>
        <v/>
      </c>
      <c r="Q30" s="38">
        <f>IF(P30=5,SUM(K30:O30),"")</f>
        <v/>
      </c>
      <c r="R30" s="38">
        <f>IF(P30="","",IF(P30&lt;5,"Pendente",IF(NOT(cad_limites_ok),"Pendente",IF(K30=3,"A",IF(Q30&gt;=cad_limite_a,"A",IF(Q30&gt;=cad_limite_b,"B","C"))))))</f>
        <v/>
      </c>
      <c r="S30" s="40">
        <f>IF(P30="","",IF(A30="","Pendente: falta o ID do ativo",IF(COUNTIF(at_id,A30)&gt;1,"ERRO: ID do ativo duplicado",IF(COUNTA(K30:O30)&gt;P30,"Pendente: nota inválida (use inteiro de 1 a 3)",IF(P30&lt;5,"Pendente: falta(m) "&amp;(5-P30)&amp;" nota(s)",IF(NOT(cad_limites_ok),"Pendente: corrija os limites A/B em Critérios",IF(K30=3,"A por Segurança = 3","Classe pela soma e limites")))))))</f>
        <v/>
      </c>
    </row>
    <row r="31">
      <c r="A31" s="36" t="n"/>
      <c r="B31" s="36" t="n"/>
      <c r="C31" s="37" t="n"/>
      <c r="D31" s="36" t="n"/>
      <c r="E31" s="38">
        <f>IF(D31="","",IFERROR(INDEX(lst_tipo_nome,MATCH(D31,lst_tipo_id,0)),"Tipo não cadastrado em Listas"))</f>
        <v/>
      </c>
      <c r="F31" s="36" t="n"/>
      <c r="G31" s="36" t="n"/>
      <c r="H31" s="36" t="n"/>
      <c r="I31" s="39" t="n"/>
      <c r="J31" s="38">
        <f>IF(OR(B31="",D31="",H31="",I31=""),"",IF(B31=H31&amp;"-"&amp;IFERROR(INDEX(lst_tipo_sigla,MATCH(D31,lst_tipo_id,0)),"???")&amp;"-"&amp;RIGHT("00"&amp;I31,3),"OK","Verificar: TAG difere de setor-sigla-número"))</f>
        <v/>
      </c>
      <c r="K31" s="39" t="n"/>
      <c r="L31" s="39" t="n"/>
      <c r="M31" s="39" t="n"/>
      <c r="N31" s="39" t="n"/>
      <c r="O31" s="39" t="n"/>
      <c r="P31" s="38">
        <f>IF(COUNTA(A31:D31)+COUNTA(F31:I31)+COUNTA(K31:O31)=0,"",IF(ISNUMBER(K31),AND(K31=INT(K31),K31&gt;=1,K31&lt;=3),FALSE)+IF(ISNUMBER(L31),AND(L31=INT(L31),L31&gt;=1,L31&lt;=3),FALSE)+IF(ISNUMBER(M31),AND(M31=INT(M31),M31&gt;=1,M31&lt;=3),FALSE)+IF(ISNUMBER(N31),AND(N31=INT(N31),N31&gt;=1,N31&lt;=3),FALSE)+IF(ISNUMBER(O31),AND(O31=INT(O31),O31&gt;=1,O31&lt;=3),FALSE))</f>
        <v/>
      </c>
      <c r="Q31" s="38">
        <f>IF(P31=5,SUM(K31:O31),"")</f>
        <v/>
      </c>
      <c r="R31" s="38">
        <f>IF(P31="","",IF(P31&lt;5,"Pendente",IF(NOT(cad_limites_ok),"Pendente",IF(K31=3,"A",IF(Q31&gt;=cad_limite_a,"A",IF(Q31&gt;=cad_limite_b,"B","C"))))))</f>
        <v/>
      </c>
      <c r="S31" s="40">
        <f>IF(P31="","",IF(A31="","Pendente: falta o ID do ativo",IF(COUNTIF(at_id,A31)&gt;1,"ERRO: ID do ativo duplicado",IF(COUNTA(K31:O31)&gt;P31,"Pendente: nota inválida (use inteiro de 1 a 3)",IF(P31&lt;5,"Pendente: falta(m) "&amp;(5-P31)&amp;" nota(s)",IF(NOT(cad_limites_ok),"Pendente: corrija os limites A/B em Critérios",IF(K31=3,"A por Segurança = 3","Classe pela soma e limites")))))))</f>
        <v/>
      </c>
    </row>
    <row r="32">
      <c r="A32" s="36" t="n"/>
      <c r="B32" s="36" t="n"/>
      <c r="C32" s="37" t="n"/>
      <c r="D32" s="36" t="n"/>
      <c r="E32" s="38">
        <f>IF(D32="","",IFERROR(INDEX(lst_tipo_nome,MATCH(D32,lst_tipo_id,0)),"Tipo não cadastrado em Listas"))</f>
        <v/>
      </c>
      <c r="F32" s="36" t="n"/>
      <c r="G32" s="36" t="n"/>
      <c r="H32" s="36" t="n"/>
      <c r="I32" s="39" t="n"/>
      <c r="J32" s="38">
        <f>IF(OR(B32="",D32="",H32="",I32=""),"",IF(B32=H32&amp;"-"&amp;IFERROR(INDEX(lst_tipo_sigla,MATCH(D32,lst_tipo_id,0)),"???")&amp;"-"&amp;RIGHT("00"&amp;I32,3),"OK","Verificar: TAG difere de setor-sigla-número"))</f>
        <v/>
      </c>
      <c r="K32" s="39" t="n"/>
      <c r="L32" s="39" t="n"/>
      <c r="M32" s="39" t="n"/>
      <c r="N32" s="39" t="n"/>
      <c r="O32" s="39" t="n"/>
      <c r="P32" s="38">
        <f>IF(COUNTA(A32:D32)+COUNTA(F32:I32)+COUNTA(K32:O32)=0,"",IF(ISNUMBER(K32),AND(K32=INT(K32),K32&gt;=1,K32&lt;=3),FALSE)+IF(ISNUMBER(L32),AND(L32=INT(L32),L32&gt;=1,L32&lt;=3),FALSE)+IF(ISNUMBER(M32),AND(M32=INT(M32),M32&gt;=1,M32&lt;=3),FALSE)+IF(ISNUMBER(N32),AND(N32=INT(N32),N32&gt;=1,N32&lt;=3),FALSE)+IF(ISNUMBER(O32),AND(O32=INT(O32),O32&gt;=1,O32&lt;=3),FALSE))</f>
        <v/>
      </c>
      <c r="Q32" s="38">
        <f>IF(P32=5,SUM(K32:O32),"")</f>
        <v/>
      </c>
      <c r="R32" s="38">
        <f>IF(P32="","",IF(P32&lt;5,"Pendente",IF(NOT(cad_limites_ok),"Pendente",IF(K32=3,"A",IF(Q32&gt;=cad_limite_a,"A",IF(Q32&gt;=cad_limite_b,"B","C"))))))</f>
        <v/>
      </c>
      <c r="S32" s="40">
        <f>IF(P32="","",IF(A32="","Pendente: falta o ID do ativo",IF(COUNTIF(at_id,A32)&gt;1,"ERRO: ID do ativo duplicado",IF(COUNTA(K32:O32)&gt;P32,"Pendente: nota inválida (use inteiro de 1 a 3)",IF(P32&lt;5,"Pendente: falta(m) "&amp;(5-P32)&amp;" nota(s)",IF(NOT(cad_limites_ok),"Pendente: corrija os limites A/B em Critérios",IF(K32=3,"A por Segurança = 3","Classe pela soma e limites")))))))</f>
        <v/>
      </c>
    </row>
    <row r="33">
      <c r="A33" s="36" t="n"/>
      <c r="B33" s="36" t="n"/>
      <c r="C33" s="37" t="n"/>
      <c r="D33" s="36" t="n"/>
      <c r="E33" s="38">
        <f>IF(D33="","",IFERROR(INDEX(lst_tipo_nome,MATCH(D33,lst_tipo_id,0)),"Tipo não cadastrado em Listas"))</f>
        <v/>
      </c>
      <c r="F33" s="36" t="n"/>
      <c r="G33" s="36" t="n"/>
      <c r="H33" s="36" t="n"/>
      <c r="I33" s="39" t="n"/>
      <c r="J33" s="38">
        <f>IF(OR(B33="",D33="",H33="",I33=""),"",IF(B33=H33&amp;"-"&amp;IFERROR(INDEX(lst_tipo_sigla,MATCH(D33,lst_tipo_id,0)),"???")&amp;"-"&amp;RIGHT("00"&amp;I33,3),"OK","Verificar: TAG difere de setor-sigla-número"))</f>
        <v/>
      </c>
      <c r="K33" s="39" t="n"/>
      <c r="L33" s="39" t="n"/>
      <c r="M33" s="39" t="n"/>
      <c r="N33" s="39" t="n"/>
      <c r="O33" s="39" t="n"/>
      <c r="P33" s="38">
        <f>IF(COUNTA(A33:D33)+COUNTA(F33:I33)+COUNTA(K33:O33)=0,"",IF(ISNUMBER(K33),AND(K33=INT(K33),K33&gt;=1,K33&lt;=3),FALSE)+IF(ISNUMBER(L33),AND(L33=INT(L33),L33&gt;=1,L33&lt;=3),FALSE)+IF(ISNUMBER(M33),AND(M33=INT(M33),M33&gt;=1,M33&lt;=3),FALSE)+IF(ISNUMBER(N33),AND(N33=INT(N33),N33&gt;=1,N33&lt;=3),FALSE)+IF(ISNUMBER(O33),AND(O33=INT(O33),O33&gt;=1,O33&lt;=3),FALSE))</f>
        <v/>
      </c>
      <c r="Q33" s="38">
        <f>IF(P33=5,SUM(K33:O33),"")</f>
        <v/>
      </c>
      <c r="R33" s="38">
        <f>IF(P33="","",IF(P33&lt;5,"Pendente",IF(NOT(cad_limites_ok),"Pendente",IF(K33=3,"A",IF(Q33&gt;=cad_limite_a,"A",IF(Q33&gt;=cad_limite_b,"B","C"))))))</f>
        <v/>
      </c>
      <c r="S33" s="40">
        <f>IF(P33="","",IF(A33="","Pendente: falta o ID do ativo",IF(COUNTIF(at_id,A33)&gt;1,"ERRO: ID do ativo duplicado",IF(COUNTA(K33:O33)&gt;P33,"Pendente: nota inválida (use inteiro de 1 a 3)",IF(P33&lt;5,"Pendente: falta(m) "&amp;(5-P33)&amp;" nota(s)",IF(NOT(cad_limites_ok),"Pendente: corrija os limites A/B em Critérios",IF(K33=3,"A por Segurança = 3","Classe pela soma e limites")))))))</f>
        <v/>
      </c>
    </row>
    <row r="34">
      <c r="A34" s="36" t="n"/>
      <c r="B34" s="36" t="n"/>
      <c r="C34" s="37" t="n"/>
      <c r="D34" s="36" t="n"/>
      <c r="E34" s="38">
        <f>IF(D34="","",IFERROR(INDEX(lst_tipo_nome,MATCH(D34,lst_tipo_id,0)),"Tipo não cadastrado em Listas"))</f>
        <v/>
      </c>
      <c r="F34" s="36" t="n"/>
      <c r="G34" s="36" t="n"/>
      <c r="H34" s="36" t="n"/>
      <c r="I34" s="39" t="n"/>
      <c r="J34" s="38">
        <f>IF(OR(B34="",D34="",H34="",I34=""),"",IF(B34=H34&amp;"-"&amp;IFERROR(INDEX(lst_tipo_sigla,MATCH(D34,lst_tipo_id,0)),"???")&amp;"-"&amp;RIGHT("00"&amp;I34,3),"OK","Verificar: TAG difere de setor-sigla-número"))</f>
        <v/>
      </c>
      <c r="K34" s="39" t="n"/>
      <c r="L34" s="39" t="n"/>
      <c r="M34" s="39" t="n"/>
      <c r="N34" s="39" t="n"/>
      <c r="O34" s="39" t="n"/>
      <c r="P34" s="38">
        <f>IF(COUNTA(A34:D34)+COUNTA(F34:I34)+COUNTA(K34:O34)=0,"",IF(ISNUMBER(K34),AND(K34=INT(K34),K34&gt;=1,K34&lt;=3),FALSE)+IF(ISNUMBER(L34),AND(L34=INT(L34),L34&gt;=1,L34&lt;=3),FALSE)+IF(ISNUMBER(M34),AND(M34=INT(M34),M34&gt;=1,M34&lt;=3),FALSE)+IF(ISNUMBER(N34),AND(N34=INT(N34),N34&gt;=1,N34&lt;=3),FALSE)+IF(ISNUMBER(O34),AND(O34=INT(O34),O34&gt;=1,O34&lt;=3),FALSE))</f>
        <v/>
      </c>
      <c r="Q34" s="38">
        <f>IF(P34=5,SUM(K34:O34),"")</f>
        <v/>
      </c>
      <c r="R34" s="38">
        <f>IF(P34="","",IF(P34&lt;5,"Pendente",IF(NOT(cad_limites_ok),"Pendente",IF(K34=3,"A",IF(Q34&gt;=cad_limite_a,"A",IF(Q34&gt;=cad_limite_b,"B","C"))))))</f>
        <v/>
      </c>
      <c r="S34" s="40">
        <f>IF(P34="","",IF(A34="","Pendente: falta o ID do ativo",IF(COUNTIF(at_id,A34)&gt;1,"ERRO: ID do ativo duplicado",IF(COUNTA(K34:O34)&gt;P34,"Pendente: nota inválida (use inteiro de 1 a 3)",IF(P34&lt;5,"Pendente: falta(m) "&amp;(5-P34)&amp;" nota(s)",IF(NOT(cad_limites_ok),"Pendente: corrija os limites A/B em Critérios",IF(K34=3,"A por Segurança = 3","Classe pela soma e limites")))))))</f>
        <v/>
      </c>
    </row>
    <row r="35">
      <c r="A35" s="36" t="n"/>
      <c r="B35" s="36" t="n"/>
      <c r="C35" s="37" t="n"/>
      <c r="D35" s="36" t="n"/>
      <c r="E35" s="38">
        <f>IF(D35="","",IFERROR(INDEX(lst_tipo_nome,MATCH(D35,lst_tipo_id,0)),"Tipo não cadastrado em Listas"))</f>
        <v/>
      </c>
      <c r="F35" s="36" t="n"/>
      <c r="G35" s="36" t="n"/>
      <c r="H35" s="36" t="n"/>
      <c r="I35" s="39" t="n"/>
      <c r="J35" s="38">
        <f>IF(OR(B35="",D35="",H35="",I35=""),"",IF(B35=H35&amp;"-"&amp;IFERROR(INDEX(lst_tipo_sigla,MATCH(D35,lst_tipo_id,0)),"???")&amp;"-"&amp;RIGHT("00"&amp;I35,3),"OK","Verificar: TAG difere de setor-sigla-número"))</f>
        <v/>
      </c>
      <c r="K35" s="39" t="n"/>
      <c r="L35" s="39" t="n"/>
      <c r="M35" s="39" t="n"/>
      <c r="N35" s="39" t="n"/>
      <c r="O35" s="39" t="n"/>
      <c r="P35" s="38">
        <f>IF(COUNTA(A35:D35)+COUNTA(F35:I35)+COUNTA(K35:O35)=0,"",IF(ISNUMBER(K35),AND(K35=INT(K35),K35&gt;=1,K35&lt;=3),FALSE)+IF(ISNUMBER(L35),AND(L35=INT(L35),L35&gt;=1,L35&lt;=3),FALSE)+IF(ISNUMBER(M35),AND(M35=INT(M35),M35&gt;=1,M35&lt;=3),FALSE)+IF(ISNUMBER(N35),AND(N35=INT(N35),N35&gt;=1,N35&lt;=3),FALSE)+IF(ISNUMBER(O35),AND(O35=INT(O35),O35&gt;=1,O35&lt;=3),FALSE))</f>
        <v/>
      </c>
      <c r="Q35" s="38">
        <f>IF(P35=5,SUM(K35:O35),"")</f>
        <v/>
      </c>
      <c r="R35" s="38">
        <f>IF(P35="","",IF(P35&lt;5,"Pendente",IF(NOT(cad_limites_ok),"Pendente",IF(K35=3,"A",IF(Q35&gt;=cad_limite_a,"A",IF(Q35&gt;=cad_limite_b,"B","C"))))))</f>
        <v/>
      </c>
      <c r="S35" s="40">
        <f>IF(P35="","",IF(A35="","Pendente: falta o ID do ativo",IF(COUNTIF(at_id,A35)&gt;1,"ERRO: ID do ativo duplicado",IF(COUNTA(K35:O35)&gt;P35,"Pendente: nota inválida (use inteiro de 1 a 3)",IF(P35&lt;5,"Pendente: falta(m) "&amp;(5-P35)&amp;" nota(s)",IF(NOT(cad_limites_ok),"Pendente: corrija os limites A/B em Critérios",IF(K35=3,"A por Segurança = 3","Classe pela soma e limites")))))))</f>
        <v/>
      </c>
    </row>
    <row r="36">
      <c r="A36" s="36" t="n"/>
      <c r="B36" s="36" t="n"/>
      <c r="C36" s="37" t="n"/>
      <c r="D36" s="36" t="n"/>
      <c r="E36" s="38">
        <f>IF(D36="","",IFERROR(INDEX(lst_tipo_nome,MATCH(D36,lst_tipo_id,0)),"Tipo não cadastrado em Listas"))</f>
        <v/>
      </c>
      <c r="F36" s="36" t="n"/>
      <c r="G36" s="36" t="n"/>
      <c r="H36" s="36" t="n"/>
      <c r="I36" s="39" t="n"/>
      <c r="J36" s="38">
        <f>IF(OR(B36="",D36="",H36="",I36=""),"",IF(B36=H36&amp;"-"&amp;IFERROR(INDEX(lst_tipo_sigla,MATCH(D36,lst_tipo_id,0)),"???")&amp;"-"&amp;RIGHT("00"&amp;I36,3),"OK","Verificar: TAG difere de setor-sigla-número"))</f>
        <v/>
      </c>
      <c r="K36" s="39" t="n"/>
      <c r="L36" s="39" t="n"/>
      <c r="M36" s="39" t="n"/>
      <c r="N36" s="39" t="n"/>
      <c r="O36" s="39" t="n"/>
      <c r="P36" s="38">
        <f>IF(COUNTA(A36:D36)+COUNTA(F36:I36)+COUNTA(K36:O36)=0,"",IF(ISNUMBER(K36),AND(K36=INT(K36),K36&gt;=1,K36&lt;=3),FALSE)+IF(ISNUMBER(L36),AND(L36=INT(L36),L36&gt;=1,L36&lt;=3),FALSE)+IF(ISNUMBER(M36),AND(M36=INT(M36),M36&gt;=1,M36&lt;=3),FALSE)+IF(ISNUMBER(N36),AND(N36=INT(N36),N36&gt;=1,N36&lt;=3),FALSE)+IF(ISNUMBER(O36),AND(O36=INT(O36),O36&gt;=1,O36&lt;=3),FALSE))</f>
        <v/>
      </c>
      <c r="Q36" s="38">
        <f>IF(P36=5,SUM(K36:O36),"")</f>
        <v/>
      </c>
      <c r="R36" s="38">
        <f>IF(P36="","",IF(P36&lt;5,"Pendente",IF(NOT(cad_limites_ok),"Pendente",IF(K36=3,"A",IF(Q36&gt;=cad_limite_a,"A",IF(Q36&gt;=cad_limite_b,"B","C"))))))</f>
        <v/>
      </c>
      <c r="S36" s="40">
        <f>IF(P36="","",IF(A36="","Pendente: falta o ID do ativo",IF(COUNTIF(at_id,A36)&gt;1,"ERRO: ID do ativo duplicado",IF(COUNTA(K36:O36)&gt;P36,"Pendente: nota inválida (use inteiro de 1 a 3)",IF(P36&lt;5,"Pendente: falta(m) "&amp;(5-P36)&amp;" nota(s)",IF(NOT(cad_limites_ok),"Pendente: corrija os limites A/B em Critérios",IF(K36=3,"A por Segurança = 3","Classe pela soma e limites")))))))</f>
        <v/>
      </c>
    </row>
    <row r="37">
      <c r="A37" s="36" t="n"/>
      <c r="B37" s="36" t="n"/>
      <c r="C37" s="37" t="n"/>
      <c r="D37" s="36" t="n"/>
      <c r="E37" s="38">
        <f>IF(D37="","",IFERROR(INDEX(lst_tipo_nome,MATCH(D37,lst_tipo_id,0)),"Tipo não cadastrado em Listas"))</f>
        <v/>
      </c>
      <c r="F37" s="36" t="n"/>
      <c r="G37" s="36" t="n"/>
      <c r="H37" s="36" t="n"/>
      <c r="I37" s="39" t="n"/>
      <c r="J37" s="38">
        <f>IF(OR(B37="",D37="",H37="",I37=""),"",IF(B37=H37&amp;"-"&amp;IFERROR(INDEX(lst_tipo_sigla,MATCH(D37,lst_tipo_id,0)),"???")&amp;"-"&amp;RIGHT("00"&amp;I37,3),"OK","Verificar: TAG difere de setor-sigla-número"))</f>
        <v/>
      </c>
      <c r="K37" s="39" t="n"/>
      <c r="L37" s="39" t="n"/>
      <c r="M37" s="39" t="n"/>
      <c r="N37" s="39" t="n"/>
      <c r="O37" s="39" t="n"/>
      <c r="P37" s="38">
        <f>IF(COUNTA(A37:D37)+COUNTA(F37:I37)+COUNTA(K37:O37)=0,"",IF(ISNUMBER(K37),AND(K37=INT(K37),K37&gt;=1,K37&lt;=3),FALSE)+IF(ISNUMBER(L37),AND(L37=INT(L37),L37&gt;=1,L37&lt;=3),FALSE)+IF(ISNUMBER(M37),AND(M37=INT(M37),M37&gt;=1,M37&lt;=3),FALSE)+IF(ISNUMBER(N37),AND(N37=INT(N37),N37&gt;=1,N37&lt;=3),FALSE)+IF(ISNUMBER(O37),AND(O37=INT(O37),O37&gt;=1,O37&lt;=3),FALSE))</f>
        <v/>
      </c>
      <c r="Q37" s="38">
        <f>IF(P37=5,SUM(K37:O37),"")</f>
        <v/>
      </c>
      <c r="R37" s="38">
        <f>IF(P37="","",IF(P37&lt;5,"Pendente",IF(NOT(cad_limites_ok),"Pendente",IF(K37=3,"A",IF(Q37&gt;=cad_limite_a,"A",IF(Q37&gt;=cad_limite_b,"B","C"))))))</f>
        <v/>
      </c>
      <c r="S37" s="40">
        <f>IF(P37="","",IF(A37="","Pendente: falta o ID do ativo",IF(COUNTIF(at_id,A37)&gt;1,"ERRO: ID do ativo duplicado",IF(COUNTA(K37:O37)&gt;P37,"Pendente: nota inválida (use inteiro de 1 a 3)",IF(P37&lt;5,"Pendente: falta(m) "&amp;(5-P37)&amp;" nota(s)",IF(NOT(cad_limites_ok),"Pendente: corrija os limites A/B em Critérios",IF(K37=3,"A por Segurança = 3","Classe pela soma e limites")))))))</f>
        <v/>
      </c>
    </row>
    <row r="38">
      <c r="A38" s="36" t="n"/>
      <c r="B38" s="36" t="n"/>
      <c r="C38" s="37" t="n"/>
      <c r="D38" s="36" t="n"/>
      <c r="E38" s="38">
        <f>IF(D38="","",IFERROR(INDEX(lst_tipo_nome,MATCH(D38,lst_tipo_id,0)),"Tipo não cadastrado em Listas"))</f>
        <v/>
      </c>
      <c r="F38" s="36" t="n"/>
      <c r="G38" s="36" t="n"/>
      <c r="H38" s="36" t="n"/>
      <c r="I38" s="39" t="n"/>
      <c r="J38" s="38">
        <f>IF(OR(B38="",D38="",H38="",I38=""),"",IF(B38=H38&amp;"-"&amp;IFERROR(INDEX(lst_tipo_sigla,MATCH(D38,lst_tipo_id,0)),"???")&amp;"-"&amp;RIGHT("00"&amp;I38,3),"OK","Verificar: TAG difere de setor-sigla-número"))</f>
        <v/>
      </c>
      <c r="K38" s="39" t="n"/>
      <c r="L38" s="39" t="n"/>
      <c r="M38" s="39" t="n"/>
      <c r="N38" s="39" t="n"/>
      <c r="O38" s="39" t="n"/>
      <c r="P38" s="38">
        <f>IF(COUNTA(A38:D38)+COUNTA(F38:I38)+COUNTA(K38:O38)=0,"",IF(ISNUMBER(K38),AND(K38=INT(K38),K38&gt;=1,K38&lt;=3),FALSE)+IF(ISNUMBER(L38),AND(L38=INT(L38),L38&gt;=1,L38&lt;=3),FALSE)+IF(ISNUMBER(M38),AND(M38=INT(M38),M38&gt;=1,M38&lt;=3),FALSE)+IF(ISNUMBER(N38),AND(N38=INT(N38),N38&gt;=1,N38&lt;=3),FALSE)+IF(ISNUMBER(O38),AND(O38=INT(O38),O38&gt;=1,O38&lt;=3),FALSE))</f>
        <v/>
      </c>
      <c r="Q38" s="38">
        <f>IF(P38=5,SUM(K38:O38),"")</f>
        <v/>
      </c>
      <c r="R38" s="38">
        <f>IF(P38="","",IF(P38&lt;5,"Pendente",IF(NOT(cad_limites_ok),"Pendente",IF(K38=3,"A",IF(Q38&gt;=cad_limite_a,"A",IF(Q38&gt;=cad_limite_b,"B","C"))))))</f>
        <v/>
      </c>
      <c r="S38" s="40">
        <f>IF(P38="","",IF(A38="","Pendente: falta o ID do ativo",IF(COUNTIF(at_id,A38)&gt;1,"ERRO: ID do ativo duplicado",IF(COUNTA(K38:O38)&gt;P38,"Pendente: nota inválida (use inteiro de 1 a 3)",IF(P38&lt;5,"Pendente: falta(m) "&amp;(5-P38)&amp;" nota(s)",IF(NOT(cad_limites_ok),"Pendente: corrija os limites A/B em Critérios",IF(K38=3,"A por Segurança = 3","Classe pela soma e limites")))))))</f>
        <v/>
      </c>
    </row>
    <row r="39">
      <c r="A39" s="36" t="n"/>
      <c r="B39" s="36" t="n"/>
      <c r="C39" s="37" t="n"/>
      <c r="D39" s="36" t="n"/>
      <c r="E39" s="38">
        <f>IF(D39="","",IFERROR(INDEX(lst_tipo_nome,MATCH(D39,lst_tipo_id,0)),"Tipo não cadastrado em Listas"))</f>
        <v/>
      </c>
      <c r="F39" s="36" t="n"/>
      <c r="G39" s="36" t="n"/>
      <c r="H39" s="36" t="n"/>
      <c r="I39" s="39" t="n"/>
      <c r="J39" s="38">
        <f>IF(OR(B39="",D39="",H39="",I39=""),"",IF(B39=H39&amp;"-"&amp;IFERROR(INDEX(lst_tipo_sigla,MATCH(D39,lst_tipo_id,0)),"???")&amp;"-"&amp;RIGHT("00"&amp;I39,3),"OK","Verificar: TAG difere de setor-sigla-número"))</f>
        <v/>
      </c>
      <c r="K39" s="39" t="n"/>
      <c r="L39" s="39" t="n"/>
      <c r="M39" s="39" t="n"/>
      <c r="N39" s="39" t="n"/>
      <c r="O39" s="39" t="n"/>
      <c r="P39" s="38">
        <f>IF(COUNTA(A39:D39)+COUNTA(F39:I39)+COUNTA(K39:O39)=0,"",IF(ISNUMBER(K39),AND(K39=INT(K39),K39&gt;=1,K39&lt;=3),FALSE)+IF(ISNUMBER(L39),AND(L39=INT(L39),L39&gt;=1,L39&lt;=3),FALSE)+IF(ISNUMBER(M39),AND(M39=INT(M39),M39&gt;=1,M39&lt;=3),FALSE)+IF(ISNUMBER(N39),AND(N39=INT(N39),N39&gt;=1,N39&lt;=3),FALSE)+IF(ISNUMBER(O39),AND(O39=INT(O39),O39&gt;=1,O39&lt;=3),FALSE))</f>
        <v/>
      </c>
      <c r="Q39" s="38">
        <f>IF(P39=5,SUM(K39:O39),"")</f>
        <v/>
      </c>
      <c r="R39" s="38">
        <f>IF(P39="","",IF(P39&lt;5,"Pendente",IF(NOT(cad_limites_ok),"Pendente",IF(K39=3,"A",IF(Q39&gt;=cad_limite_a,"A",IF(Q39&gt;=cad_limite_b,"B","C"))))))</f>
        <v/>
      </c>
      <c r="S39" s="40">
        <f>IF(P39="","",IF(A39="","Pendente: falta o ID do ativo",IF(COUNTIF(at_id,A39)&gt;1,"ERRO: ID do ativo duplicado",IF(COUNTA(K39:O39)&gt;P39,"Pendente: nota inválida (use inteiro de 1 a 3)",IF(P39&lt;5,"Pendente: falta(m) "&amp;(5-P39)&amp;" nota(s)",IF(NOT(cad_limites_ok),"Pendente: corrija os limites A/B em Critérios",IF(K39=3,"A por Segurança = 3","Classe pela soma e limites")))))))</f>
        <v/>
      </c>
    </row>
    <row r="40">
      <c r="A40" s="36" t="n"/>
      <c r="B40" s="36" t="n"/>
      <c r="C40" s="37" t="n"/>
      <c r="D40" s="36" t="n"/>
      <c r="E40" s="38">
        <f>IF(D40="","",IFERROR(INDEX(lst_tipo_nome,MATCH(D40,lst_tipo_id,0)),"Tipo não cadastrado em Listas"))</f>
        <v/>
      </c>
      <c r="F40" s="36" t="n"/>
      <c r="G40" s="36" t="n"/>
      <c r="H40" s="36" t="n"/>
      <c r="I40" s="39" t="n"/>
      <c r="J40" s="38">
        <f>IF(OR(B40="",D40="",H40="",I40=""),"",IF(B40=H40&amp;"-"&amp;IFERROR(INDEX(lst_tipo_sigla,MATCH(D40,lst_tipo_id,0)),"???")&amp;"-"&amp;RIGHT("00"&amp;I40,3),"OK","Verificar: TAG difere de setor-sigla-número"))</f>
        <v/>
      </c>
      <c r="K40" s="39" t="n"/>
      <c r="L40" s="39" t="n"/>
      <c r="M40" s="39" t="n"/>
      <c r="N40" s="39" t="n"/>
      <c r="O40" s="39" t="n"/>
      <c r="P40" s="38">
        <f>IF(COUNTA(A40:D40)+COUNTA(F40:I40)+COUNTA(K40:O40)=0,"",IF(ISNUMBER(K40),AND(K40=INT(K40),K40&gt;=1,K40&lt;=3),FALSE)+IF(ISNUMBER(L40),AND(L40=INT(L40),L40&gt;=1,L40&lt;=3),FALSE)+IF(ISNUMBER(M40),AND(M40=INT(M40),M40&gt;=1,M40&lt;=3),FALSE)+IF(ISNUMBER(N40),AND(N40=INT(N40),N40&gt;=1,N40&lt;=3),FALSE)+IF(ISNUMBER(O40),AND(O40=INT(O40),O40&gt;=1,O40&lt;=3),FALSE))</f>
        <v/>
      </c>
      <c r="Q40" s="38">
        <f>IF(P40=5,SUM(K40:O40),"")</f>
        <v/>
      </c>
      <c r="R40" s="38">
        <f>IF(P40="","",IF(P40&lt;5,"Pendente",IF(NOT(cad_limites_ok),"Pendente",IF(K40=3,"A",IF(Q40&gt;=cad_limite_a,"A",IF(Q40&gt;=cad_limite_b,"B","C"))))))</f>
        <v/>
      </c>
      <c r="S40" s="40">
        <f>IF(P40="","",IF(A40="","Pendente: falta o ID do ativo",IF(COUNTIF(at_id,A40)&gt;1,"ERRO: ID do ativo duplicado",IF(COUNTA(K40:O40)&gt;P40,"Pendente: nota inválida (use inteiro de 1 a 3)",IF(P40&lt;5,"Pendente: falta(m) "&amp;(5-P40)&amp;" nota(s)",IF(NOT(cad_limites_ok),"Pendente: corrija os limites A/B em Critérios",IF(K40=3,"A por Segurança = 3","Classe pela soma e limites")))))))</f>
        <v/>
      </c>
    </row>
    <row r="41">
      <c r="A41" s="36" t="n"/>
      <c r="B41" s="36" t="n"/>
      <c r="C41" s="37" t="n"/>
      <c r="D41" s="36" t="n"/>
      <c r="E41" s="38">
        <f>IF(D41="","",IFERROR(INDEX(lst_tipo_nome,MATCH(D41,lst_tipo_id,0)),"Tipo não cadastrado em Listas"))</f>
        <v/>
      </c>
      <c r="F41" s="36" t="n"/>
      <c r="G41" s="36" t="n"/>
      <c r="H41" s="36" t="n"/>
      <c r="I41" s="39" t="n"/>
      <c r="J41" s="38">
        <f>IF(OR(B41="",D41="",H41="",I41=""),"",IF(B41=H41&amp;"-"&amp;IFERROR(INDEX(lst_tipo_sigla,MATCH(D41,lst_tipo_id,0)),"???")&amp;"-"&amp;RIGHT("00"&amp;I41,3),"OK","Verificar: TAG difere de setor-sigla-número"))</f>
        <v/>
      </c>
      <c r="K41" s="39" t="n"/>
      <c r="L41" s="39" t="n"/>
      <c r="M41" s="39" t="n"/>
      <c r="N41" s="39" t="n"/>
      <c r="O41" s="39" t="n"/>
      <c r="P41" s="38">
        <f>IF(COUNTA(A41:D41)+COUNTA(F41:I41)+COUNTA(K41:O41)=0,"",IF(ISNUMBER(K41),AND(K41=INT(K41),K41&gt;=1,K41&lt;=3),FALSE)+IF(ISNUMBER(L41),AND(L41=INT(L41),L41&gt;=1,L41&lt;=3),FALSE)+IF(ISNUMBER(M41),AND(M41=INT(M41),M41&gt;=1,M41&lt;=3),FALSE)+IF(ISNUMBER(N41),AND(N41=INT(N41),N41&gt;=1,N41&lt;=3),FALSE)+IF(ISNUMBER(O41),AND(O41=INT(O41),O41&gt;=1,O41&lt;=3),FALSE))</f>
        <v/>
      </c>
      <c r="Q41" s="38">
        <f>IF(P41=5,SUM(K41:O41),"")</f>
        <v/>
      </c>
      <c r="R41" s="38">
        <f>IF(P41="","",IF(P41&lt;5,"Pendente",IF(NOT(cad_limites_ok),"Pendente",IF(K41=3,"A",IF(Q41&gt;=cad_limite_a,"A",IF(Q41&gt;=cad_limite_b,"B","C"))))))</f>
        <v/>
      </c>
      <c r="S41" s="40">
        <f>IF(P41="","",IF(A41="","Pendente: falta o ID do ativo",IF(COUNTIF(at_id,A41)&gt;1,"ERRO: ID do ativo duplicado",IF(COUNTA(K41:O41)&gt;P41,"Pendente: nota inválida (use inteiro de 1 a 3)",IF(P41&lt;5,"Pendente: falta(m) "&amp;(5-P41)&amp;" nota(s)",IF(NOT(cad_limites_ok),"Pendente: corrija os limites A/B em Critérios",IF(K41=3,"A por Segurança = 3","Classe pela soma e limites")))))))</f>
        <v/>
      </c>
    </row>
    <row r="42">
      <c r="A42" s="36" t="n"/>
      <c r="B42" s="36" t="n"/>
      <c r="C42" s="37" t="n"/>
      <c r="D42" s="36" t="n"/>
      <c r="E42" s="38">
        <f>IF(D42="","",IFERROR(INDEX(lst_tipo_nome,MATCH(D42,lst_tipo_id,0)),"Tipo não cadastrado em Listas"))</f>
        <v/>
      </c>
      <c r="F42" s="36" t="n"/>
      <c r="G42" s="36" t="n"/>
      <c r="H42" s="36" t="n"/>
      <c r="I42" s="39" t="n"/>
      <c r="J42" s="38">
        <f>IF(OR(B42="",D42="",H42="",I42=""),"",IF(B42=H42&amp;"-"&amp;IFERROR(INDEX(lst_tipo_sigla,MATCH(D42,lst_tipo_id,0)),"???")&amp;"-"&amp;RIGHT("00"&amp;I42,3),"OK","Verificar: TAG difere de setor-sigla-número"))</f>
        <v/>
      </c>
      <c r="K42" s="39" t="n"/>
      <c r="L42" s="39" t="n"/>
      <c r="M42" s="39" t="n"/>
      <c r="N42" s="39" t="n"/>
      <c r="O42" s="39" t="n"/>
      <c r="P42" s="38">
        <f>IF(COUNTA(A42:D42)+COUNTA(F42:I42)+COUNTA(K42:O42)=0,"",IF(ISNUMBER(K42),AND(K42=INT(K42),K42&gt;=1,K42&lt;=3),FALSE)+IF(ISNUMBER(L42),AND(L42=INT(L42),L42&gt;=1,L42&lt;=3),FALSE)+IF(ISNUMBER(M42),AND(M42=INT(M42),M42&gt;=1,M42&lt;=3),FALSE)+IF(ISNUMBER(N42),AND(N42=INT(N42),N42&gt;=1,N42&lt;=3),FALSE)+IF(ISNUMBER(O42),AND(O42=INT(O42),O42&gt;=1,O42&lt;=3),FALSE))</f>
        <v/>
      </c>
      <c r="Q42" s="38">
        <f>IF(P42=5,SUM(K42:O42),"")</f>
        <v/>
      </c>
      <c r="R42" s="38">
        <f>IF(P42="","",IF(P42&lt;5,"Pendente",IF(NOT(cad_limites_ok),"Pendente",IF(K42=3,"A",IF(Q42&gt;=cad_limite_a,"A",IF(Q42&gt;=cad_limite_b,"B","C"))))))</f>
        <v/>
      </c>
      <c r="S42" s="40">
        <f>IF(P42="","",IF(A42="","Pendente: falta o ID do ativo",IF(COUNTIF(at_id,A42)&gt;1,"ERRO: ID do ativo duplicado",IF(COUNTA(K42:O42)&gt;P42,"Pendente: nota inválida (use inteiro de 1 a 3)",IF(P42&lt;5,"Pendente: falta(m) "&amp;(5-P42)&amp;" nota(s)",IF(NOT(cad_limites_ok),"Pendente: corrija os limites A/B em Critérios",IF(K42=3,"A por Segurança = 3","Classe pela soma e limites")))))))</f>
        <v/>
      </c>
    </row>
    <row r="43">
      <c r="A43" s="36" t="n"/>
      <c r="B43" s="36" t="n"/>
      <c r="C43" s="37" t="n"/>
      <c r="D43" s="36" t="n"/>
      <c r="E43" s="38">
        <f>IF(D43="","",IFERROR(INDEX(lst_tipo_nome,MATCH(D43,lst_tipo_id,0)),"Tipo não cadastrado em Listas"))</f>
        <v/>
      </c>
      <c r="F43" s="36" t="n"/>
      <c r="G43" s="36" t="n"/>
      <c r="H43" s="36" t="n"/>
      <c r="I43" s="39" t="n"/>
      <c r="J43" s="38">
        <f>IF(OR(B43="",D43="",H43="",I43=""),"",IF(B43=H43&amp;"-"&amp;IFERROR(INDEX(lst_tipo_sigla,MATCH(D43,lst_tipo_id,0)),"???")&amp;"-"&amp;RIGHT("00"&amp;I43,3),"OK","Verificar: TAG difere de setor-sigla-número"))</f>
        <v/>
      </c>
      <c r="K43" s="39" t="n"/>
      <c r="L43" s="39" t="n"/>
      <c r="M43" s="39" t="n"/>
      <c r="N43" s="39" t="n"/>
      <c r="O43" s="39" t="n"/>
      <c r="P43" s="38">
        <f>IF(COUNTA(A43:D43)+COUNTA(F43:I43)+COUNTA(K43:O43)=0,"",IF(ISNUMBER(K43),AND(K43=INT(K43),K43&gt;=1,K43&lt;=3),FALSE)+IF(ISNUMBER(L43),AND(L43=INT(L43),L43&gt;=1,L43&lt;=3),FALSE)+IF(ISNUMBER(M43),AND(M43=INT(M43),M43&gt;=1,M43&lt;=3),FALSE)+IF(ISNUMBER(N43),AND(N43=INT(N43),N43&gt;=1,N43&lt;=3),FALSE)+IF(ISNUMBER(O43),AND(O43=INT(O43),O43&gt;=1,O43&lt;=3),FALSE))</f>
        <v/>
      </c>
      <c r="Q43" s="38">
        <f>IF(P43=5,SUM(K43:O43),"")</f>
        <v/>
      </c>
      <c r="R43" s="38">
        <f>IF(P43="","",IF(P43&lt;5,"Pendente",IF(NOT(cad_limites_ok),"Pendente",IF(K43=3,"A",IF(Q43&gt;=cad_limite_a,"A",IF(Q43&gt;=cad_limite_b,"B","C"))))))</f>
        <v/>
      </c>
      <c r="S43" s="40">
        <f>IF(P43="","",IF(A43="","Pendente: falta o ID do ativo",IF(COUNTIF(at_id,A43)&gt;1,"ERRO: ID do ativo duplicado",IF(COUNTA(K43:O43)&gt;P43,"Pendente: nota inválida (use inteiro de 1 a 3)",IF(P43&lt;5,"Pendente: falta(m) "&amp;(5-P43)&amp;" nota(s)",IF(NOT(cad_limites_ok),"Pendente: corrija os limites A/B em Critérios",IF(K43=3,"A por Segurança = 3","Classe pela soma e limites")))))))</f>
        <v/>
      </c>
    </row>
    <row r="44">
      <c r="A44" s="36" t="n"/>
      <c r="B44" s="36" t="n"/>
      <c r="C44" s="37" t="n"/>
      <c r="D44" s="36" t="n"/>
      <c r="E44" s="38">
        <f>IF(D44="","",IFERROR(INDEX(lst_tipo_nome,MATCH(D44,lst_tipo_id,0)),"Tipo não cadastrado em Listas"))</f>
        <v/>
      </c>
      <c r="F44" s="36" t="n"/>
      <c r="G44" s="36" t="n"/>
      <c r="H44" s="36" t="n"/>
      <c r="I44" s="39" t="n"/>
      <c r="J44" s="38">
        <f>IF(OR(B44="",D44="",H44="",I44=""),"",IF(B44=H44&amp;"-"&amp;IFERROR(INDEX(lst_tipo_sigla,MATCH(D44,lst_tipo_id,0)),"???")&amp;"-"&amp;RIGHT("00"&amp;I44,3),"OK","Verificar: TAG difere de setor-sigla-número"))</f>
        <v/>
      </c>
      <c r="K44" s="39" t="n"/>
      <c r="L44" s="39" t="n"/>
      <c r="M44" s="39" t="n"/>
      <c r="N44" s="39" t="n"/>
      <c r="O44" s="39" t="n"/>
      <c r="P44" s="38">
        <f>IF(COUNTA(A44:D44)+COUNTA(F44:I44)+COUNTA(K44:O44)=0,"",IF(ISNUMBER(K44),AND(K44=INT(K44),K44&gt;=1,K44&lt;=3),FALSE)+IF(ISNUMBER(L44),AND(L44=INT(L44),L44&gt;=1,L44&lt;=3),FALSE)+IF(ISNUMBER(M44),AND(M44=INT(M44),M44&gt;=1,M44&lt;=3),FALSE)+IF(ISNUMBER(N44),AND(N44=INT(N44),N44&gt;=1,N44&lt;=3),FALSE)+IF(ISNUMBER(O44),AND(O44=INT(O44),O44&gt;=1,O44&lt;=3),FALSE))</f>
        <v/>
      </c>
      <c r="Q44" s="38">
        <f>IF(P44=5,SUM(K44:O44),"")</f>
        <v/>
      </c>
      <c r="R44" s="38">
        <f>IF(P44="","",IF(P44&lt;5,"Pendente",IF(NOT(cad_limites_ok),"Pendente",IF(K44=3,"A",IF(Q44&gt;=cad_limite_a,"A",IF(Q44&gt;=cad_limite_b,"B","C"))))))</f>
        <v/>
      </c>
      <c r="S44" s="40">
        <f>IF(P44="","",IF(A44="","Pendente: falta o ID do ativo",IF(COUNTIF(at_id,A44)&gt;1,"ERRO: ID do ativo duplicado",IF(COUNTA(K44:O44)&gt;P44,"Pendente: nota inválida (use inteiro de 1 a 3)",IF(P44&lt;5,"Pendente: falta(m) "&amp;(5-P44)&amp;" nota(s)",IF(NOT(cad_limites_ok),"Pendente: corrija os limites A/B em Critérios",IF(K44=3,"A por Segurança = 3","Classe pela soma e limites")))))))</f>
        <v/>
      </c>
    </row>
    <row r="45">
      <c r="A45" s="36" t="n"/>
      <c r="B45" s="36" t="n"/>
      <c r="C45" s="37" t="n"/>
      <c r="D45" s="36" t="n"/>
      <c r="E45" s="38">
        <f>IF(D45="","",IFERROR(INDEX(lst_tipo_nome,MATCH(D45,lst_tipo_id,0)),"Tipo não cadastrado em Listas"))</f>
        <v/>
      </c>
      <c r="F45" s="36" t="n"/>
      <c r="G45" s="36" t="n"/>
      <c r="H45" s="36" t="n"/>
      <c r="I45" s="39" t="n"/>
      <c r="J45" s="38">
        <f>IF(OR(B45="",D45="",H45="",I45=""),"",IF(B45=H45&amp;"-"&amp;IFERROR(INDEX(lst_tipo_sigla,MATCH(D45,lst_tipo_id,0)),"???")&amp;"-"&amp;RIGHT("00"&amp;I45,3),"OK","Verificar: TAG difere de setor-sigla-número"))</f>
        <v/>
      </c>
      <c r="K45" s="39" t="n"/>
      <c r="L45" s="39" t="n"/>
      <c r="M45" s="39" t="n"/>
      <c r="N45" s="39" t="n"/>
      <c r="O45" s="39" t="n"/>
      <c r="P45" s="38">
        <f>IF(COUNTA(A45:D45)+COUNTA(F45:I45)+COUNTA(K45:O45)=0,"",IF(ISNUMBER(K45),AND(K45=INT(K45),K45&gt;=1,K45&lt;=3),FALSE)+IF(ISNUMBER(L45),AND(L45=INT(L45),L45&gt;=1,L45&lt;=3),FALSE)+IF(ISNUMBER(M45),AND(M45=INT(M45),M45&gt;=1,M45&lt;=3),FALSE)+IF(ISNUMBER(N45),AND(N45=INT(N45),N45&gt;=1,N45&lt;=3),FALSE)+IF(ISNUMBER(O45),AND(O45=INT(O45),O45&gt;=1,O45&lt;=3),FALSE))</f>
        <v/>
      </c>
      <c r="Q45" s="38">
        <f>IF(P45=5,SUM(K45:O45),"")</f>
        <v/>
      </c>
      <c r="R45" s="38">
        <f>IF(P45="","",IF(P45&lt;5,"Pendente",IF(NOT(cad_limites_ok),"Pendente",IF(K45=3,"A",IF(Q45&gt;=cad_limite_a,"A",IF(Q45&gt;=cad_limite_b,"B","C"))))))</f>
        <v/>
      </c>
      <c r="S45" s="40">
        <f>IF(P45="","",IF(A45="","Pendente: falta o ID do ativo",IF(COUNTIF(at_id,A45)&gt;1,"ERRO: ID do ativo duplicado",IF(COUNTA(K45:O45)&gt;P45,"Pendente: nota inválida (use inteiro de 1 a 3)",IF(P45&lt;5,"Pendente: falta(m) "&amp;(5-P45)&amp;" nota(s)",IF(NOT(cad_limites_ok),"Pendente: corrija os limites A/B em Critérios",IF(K45=3,"A por Segurança = 3","Classe pela soma e limites")))))))</f>
        <v/>
      </c>
    </row>
    <row r="46">
      <c r="A46" s="36" t="n"/>
      <c r="B46" s="36" t="n"/>
      <c r="C46" s="37" t="n"/>
      <c r="D46" s="36" t="n"/>
      <c r="E46" s="38">
        <f>IF(D46="","",IFERROR(INDEX(lst_tipo_nome,MATCH(D46,lst_tipo_id,0)),"Tipo não cadastrado em Listas"))</f>
        <v/>
      </c>
      <c r="F46" s="36" t="n"/>
      <c r="G46" s="36" t="n"/>
      <c r="H46" s="36" t="n"/>
      <c r="I46" s="39" t="n"/>
      <c r="J46" s="38">
        <f>IF(OR(B46="",D46="",H46="",I46=""),"",IF(B46=H46&amp;"-"&amp;IFERROR(INDEX(lst_tipo_sigla,MATCH(D46,lst_tipo_id,0)),"???")&amp;"-"&amp;RIGHT("00"&amp;I46,3),"OK","Verificar: TAG difere de setor-sigla-número"))</f>
        <v/>
      </c>
      <c r="K46" s="39" t="n"/>
      <c r="L46" s="39" t="n"/>
      <c r="M46" s="39" t="n"/>
      <c r="N46" s="39" t="n"/>
      <c r="O46" s="39" t="n"/>
      <c r="P46" s="38">
        <f>IF(COUNTA(A46:D46)+COUNTA(F46:I46)+COUNTA(K46:O46)=0,"",IF(ISNUMBER(K46),AND(K46=INT(K46),K46&gt;=1,K46&lt;=3),FALSE)+IF(ISNUMBER(L46),AND(L46=INT(L46),L46&gt;=1,L46&lt;=3),FALSE)+IF(ISNUMBER(M46),AND(M46=INT(M46),M46&gt;=1,M46&lt;=3),FALSE)+IF(ISNUMBER(N46),AND(N46=INT(N46),N46&gt;=1,N46&lt;=3),FALSE)+IF(ISNUMBER(O46),AND(O46=INT(O46),O46&gt;=1,O46&lt;=3),FALSE))</f>
        <v/>
      </c>
      <c r="Q46" s="38">
        <f>IF(P46=5,SUM(K46:O46),"")</f>
        <v/>
      </c>
      <c r="R46" s="38">
        <f>IF(P46="","",IF(P46&lt;5,"Pendente",IF(NOT(cad_limites_ok),"Pendente",IF(K46=3,"A",IF(Q46&gt;=cad_limite_a,"A",IF(Q46&gt;=cad_limite_b,"B","C"))))))</f>
        <v/>
      </c>
      <c r="S46" s="40">
        <f>IF(P46="","",IF(A46="","Pendente: falta o ID do ativo",IF(COUNTIF(at_id,A46)&gt;1,"ERRO: ID do ativo duplicado",IF(COUNTA(K46:O46)&gt;P46,"Pendente: nota inválida (use inteiro de 1 a 3)",IF(P46&lt;5,"Pendente: falta(m) "&amp;(5-P46)&amp;" nota(s)",IF(NOT(cad_limites_ok),"Pendente: corrija os limites A/B em Critérios",IF(K46=3,"A por Segurança = 3","Classe pela soma e limites")))))))</f>
        <v/>
      </c>
    </row>
    <row r="47">
      <c r="A47" s="36" t="n"/>
      <c r="B47" s="36" t="n"/>
      <c r="C47" s="37" t="n"/>
      <c r="D47" s="36" t="n"/>
      <c r="E47" s="38">
        <f>IF(D47="","",IFERROR(INDEX(lst_tipo_nome,MATCH(D47,lst_tipo_id,0)),"Tipo não cadastrado em Listas"))</f>
        <v/>
      </c>
      <c r="F47" s="36" t="n"/>
      <c r="G47" s="36" t="n"/>
      <c r="H47" s="36" t="n"/>
      <c r="I47" s="39" t="n"/>
      <c r="J47" s="38">
        <f>IF(OR(B47="",D47="",H47="",I47=""),"",IF(B47=H47&amp;"-"&amp;IFERROR(INDEX(lst_tipo_sigla,MATCH(D47,lst_tipo_id,0)),"???")&amp;"-"&amp;RIGHT("00"&amp;I47,3),"OK","Verificar: TAG difere de setor-sigla-número"))</f>
        <v/>
      </c>
      <c r="K47" s="39" t="n"/>
      <c r="L47" s="39" t="n"/>
      <c r="M47" s="39" t="n"/>
      <c r="N47" s="39" t="n"/>
      <c r="O47" s="39" t="n"/>
      <c r="P47" s="38">
        <f>IF(COUNTA(A47:D47)+COUNTA(F47:I47)+COUNTA(K47:O47)=0,"",IF(ISNUMBER(K47),AND(K47=INT(K47),K47&gt;=1,K47&lt;=3),FALSE)+IF(ISNUMBER(L47),AND(L47=INT(L47),L47&gt;=1,L47&lt;=3),FALSE)+IF(ISNUMBER(M47),AND(M47=INT(M47),M47&gt;=1,M47&lt;=3),FALSE)+IF(ISNUMBER(N47),AND(N47=INT(N47),N47&gt;=1,N47&lt;=3),FALSE)+IF(ISNUMBER(O47),AND(O47=INT(O47),O47&gt;=1,O47&lt;=3),FALSE))</f>
        <v/>
      </c>
      <c r="Q47" s="38">
        <f>IF(P47=5,SUM(K47:O47),"")</f>
        <v/>
      </c>
      <c r="R47" s="38">
        <f>IF(P47="","",IF(P47&lt;5,"Pendente",IF(NOT(cad_limites_ok),"Pendente",IF(K47=3,"A",IF(Q47&gt;=cad_limite_a,"A",IF(Q47&gt;=cad_limite_b,"B","C"))))))</f>
        <v/>
      </c>
      <c r="S47" s="40">
        <f>IF(P47="","",IF(A47="","Pendente: falta o ID do ativo",IF(COUNTIF(at_id,A47)&gt;1,"ERRO: ID do ativo duplicado",IF(COUNTA(K47:O47)&gt;P47,"Pendente: nota inválida (use inteiro de 1 a 3)",IF(P47&lt;5,"Pendente: falta(m) "&amp;(5-P47)&amp;" nota(s)",IF(NOT(cad_limites_ok),"Pendente: corrija os limites A/B em Critérios",IF(K47=3,"A por Segurança = 3","Classe pela soma e limites")))))))</f>
        <v/>
      </c>
    </row>
    <row r="48">
      <c r="A48" s="36" t="n"/>
      <c r="B48" s="36" t="n"/>
      <c r="C48" s="37" t="n"/>
      <c r="D48" s="36" t="n"/>
      <c r="E48" s="38">
        <f>IF(D48="","",IFERROR(INDEX(lst_tipo_nome,MATCH(D48,lst_tipo_id,0)),"Tipo não cadastrado em Listas"))</f>
        <v/>
      </c>
      <c r="F48" s="36" t="n"/>
      <c r="G48" s="36" t="n"/>
      <c r="H48" s="36" t="n"/>
      <c r="I48" s="39" t="n"/>
      <c r="J48" s="38">
        <f>IF(OR(B48="",D48="",H48="",I48=""),"",IF(B48=H48&amp;"-"&amp;IFERROR(INDEX(lst_tipo_sigla,MATCH(D48,lst_tipo_id,0)),"???")&amp;"-"&amp;RIGHT("00"&amp;I48,3),"OK","Verificar: TAG difere de setor-sigla-número"))</f>
        <v/>
      </c>
      <c r="K48" s="39" t="n"/>
      <c r="L48" s="39" t="n"/>
      <c r="M48" s="39" t="n"/>
      <c r="N48" s="39" t="n"/>
      <c r="O48" s="39" t="n"/>
      <c r="P48" s="38">
        <f>IF(COUNTA(A48:D48)+COUNTA(F48:I48)+COUNTA(K48:O48)=0,"",IF(ISNUMBER(K48),AND(K48=INT(K48),K48&gt;=1,K48&lt;=3),FALSE)+IF(ISNUMBER(L48),AND(L48=INT(L48),L48&gt;=1,L48&lt;=3),FALSE)+IF(ISNUMBER(M48),AND(M48=INT(M48),M48&gt;=1,M48&lt;=3),FALSE)+IF(ISNUMBER(N48),AND(N48=INT(N48),N48&gt;=1,N48&lt;=3),FALSE)+IF(ISNUMBER(O48),AND(O48=INT(O48),O48&gt;=1,O48&lt;=3),FALSE))</f>
        <v/>
      </c>
      <c r="Q48" s="38">
        <f>IF(P48=5,SUM(K48:O48),"")</f>
        <v/>
      </c>
      <c r="R48" s="38">
        <f>IF(P48="","",IF(P48&lt;5,"Pendente",IF(NOT(cad_limites_ok),"Pendente",IF(K48=3,"A",IF(Q48&gt;=cad_limite_a,"A",IF(Q48&gt;=cad_limite_b,"B","C"))))))</f>
        <v/>
      </c>
      <c r="S48" s="40">
        <f>IF(P48="","",IF(A48="","Pendente: falta o ID do ativo",IF(COUNTIF(at_id,A48)&gt;1,"ERRO: ID do ativo duplicado",IF(COUNTA(K48:O48)&gt;P48,"Pendente: nota inválida (use inteiro de 1 a 3)",IF(P48&lt;5,"Pendente: falta(m) "&amp;(5-P48)&amp;" nota(s)",IF(NOT(cad_limites_ok),"Pendente: corrija os limites A/B em Critérios",IF(K48=3,"A por Segurança = 3","Classe pela soma e limites")))))))</f>
        <v/>
      </c>
    </row>
    <row r="49">
      <c r="A49" s="36" t="n"/>
      <c r="B49" s="36" t="n"/>
      <c r="C49" s="37" t="n"/>
      <c r="D49" s="36" t="n"/>
      <c r="E49" s="38">
        <f>IF(D49="","",IFERROR(INDEX(lst_tipo_nome,MATCH(D49,lst_tipo_id,0)),"Tipo não cadastrado em Listas"))</f>
        <v/>
      </c>
      <c r="F49" s="36" t="n"/>
      <c r="G49" s="36" t="n"/>
      <c r="H49" s="36" t="n"/>
      <c r="I49" s="39" t="n"/>
      <c r="J49" s="38">
        <f>IF(OR(B49="",D49="",H49="",I49=""),"",IF(B49=H49&amp;"-"&amp;IFERROR(INDEX(lst_tipo_sigla,MATCH(D49,lst_tipo_id,0)),"???")&amp;"-"&amp;RIGHT("00"&amp;I49,3),"OK","Verificar: TAG difere de setor-sigla-número"))</f>
        <v/>
      </c>
      <c r="K49" s="39" t="n"/>
      <c r="L49" s="39" t="n"/>
      <c r="M49" s="39" t="n"/>
      <c r="N49" s="39" t="n"/>
      <c r="O49" s="39" t="n"/>
      <c r="P49" s="38">
        <f>IF(COUNTA(A49:D49)+COUNTA(F49:I49)+COUNTA(K49:O49)=0,"",IF(ISNUMBER(K49),AND(K49=INT(K49),K49&gt;=1,K49&lt;=3),FALSE)+IF(ISNUMBER(L49),AND(L49=INT(L49),L49&gt;=1,L49&lt;=3),FALSE)+IF(ISNUMBER(M49),AND(M49=INT(M49),M49&gt;=1,M49&lt;=3),FALSE)+IF(ISNUMBER(N49),AND(N49=INT(N49),N49&gt;=1,N49&lt;=3),FALSE)+IF(ISNUMBER(O49),AND(O49=INT(O49),O49&gt;=1,O49&lt;=3),FALSE))</f>
        <v/>
      </c>
      <c r="Q49" s="38">
        <f>IF(P49=5,SUM(K49:O49),"")</f>
        <v/>
      </c>
      <c r="R49" s="38">
        <f>IF(P49="","",IF(P49&lt;5,"Pendente",IF(NOT(cad_limites_ok),"Pendente",IF(K49=3,"A",IF(Q49&gt;=cad_limite_a,"A",IF(Q49&gt;=cad_limite_b,"B","C"))))))</f>
        <v/>
      </c>
      <c r="S49" s="40">
        <f>IF(P49="","",IF(A49="","Pendente: falta o ID do ativo",IF(COUNTIF(at_id,A49)&gt;1,"ERRO: ID do ativo duplicado",IF(COUNTA(K49:O49)&gt;P49,"Pendente: nota inválida (use inteiro de 1 a 3)",IF(P49&lt;5,"Pendente: falta(m) "&amp;(5-P49)&amp;" nota(s)",IF(NOT(cad_limites_ok),"Pendente: corrija os limites A/B em Critérios",IF(K49=3,"A por Segurança = 3","Classe pela soma e limites")))))))</f>
        <v/>
      </c>
    </row>
    <row r="50">
      <c r="A50" s="36" t="n"/>
      <c r="B50" s="36" t="n"/>
      <c r="C50" s="37" t="n"/>
      <c r="D50" s="36" t="n"/>
      <c r="E50" s="38">
        <f>IF(D50="","",IFERROR(INDEX(lst_tipo_nome,MATCH(D50,lst_tipo_id,0)),"Tipo não cadastrado em Listas"))</f>
        <v/>
      </c>
      <c r="F50" s="36" t="n"/>
      <c r="G50" s="36" t="n"/>
      <c r="H50" s="36" t="n"/>
      <c r="I50" s="39" t="n"/>
      <c r="J50" s="38">
        <f>IF(OR(B50="",D50="",H50="",I50=""),"",IF(B50=H50&amp;"-"&amp;IFERROR(INDEX(lst_tipo_sigla,MATCH(D50,lst_tipo_id,0)),"???")&amp;"-"&amp;RIGHT("00"&amp;I50,3),"OK","Verificar: TAG difere de setor-sigla-número"))</f>
        <v/>
      </c>
      <c r="K50" s="39" t="n"/>
      <c r="L50" s="39" t="n"/>
      <c r="M50" s="39" t="n"/>
      <c r="N50" s="39" t="n"/>
      <c r="O50" s="39" t="n"/>
      <c r="P50" s="38">
        <f>IF(COUNTA(A50:D50)+COUNTA(F50:I50)+COUNTA(K50:O50)=0,"",IF(ISNUMBER(K50),AND(K50=INT(K50),K50&gt;=1,K50&lt;=3),FALSE)+IF(ISNUMBER(L50),AND(L50=INT(L50),L50&gt;=1,L50&lt;=3),FALSE)+IF(ISNUMBER(M50),AND(M50=INT(M50),M50&gt;=1,M50&lt;=3),FALSE)+IF(ISNUMBER(N50),AND(N50=INT(N50),N50&gt;=1,N50&lt;=3),FALSE)+IF(ISNUMBER(O50),AND(O50=INT(O50),O50&gt;=1,O50&lt;=3),FALSE))</f>
        <v/>
      </c>
      <c r="Q50" s="38">
        <f>IF(P50=5,SUM(K50:O50),"")</f>
        <v/>
      </c>
      <c r="R50" s="38">
        <f>IF(P50="","",IF(P50&lt;5,"Pendente",IF(NOT(cad_limites_ok),"Pendente",IF(K50=3,"A",IF(Q50&gt;=cad_limite_a,"A",IF(Q50&gt;=cad_limite_b,"B","C"))))))</f>
        <v/>
      </c>
      <c r="S50" s="40">
        <f>IF(P50="","",IF(A50="","Pendente: falta o ID do ativo",IF(COUNTIF(at_id,A50)&gt;1,"ERRO: ID do ativo duplicado",IF(COUNTA(K50:O50)&gt;P50,"Pendente: nota inválida (use inteiro de 1 a 3)",IF(P50&lt;5,"Pendente: falta(m) "&amp;(5-P50)&amp;" nota(s)",IF(NOT(cad_limites_ok),"Pendente: corrija os limites A/B em Critérios",IF(K50=3,"A por Segurança = 3","Classe pela soma e limites")))))))</f>
        <v/>
      </c>
    </row>
    <row r="51">
      <c r="A51" s="36" t="n"/>
      <c r="B51" s="36" t="n"/>
      <c r="C51" s="37" t="n"/>
      <c r="D51" s="36" t="n"/>
      <c r="E51" s="38">
        <f>IF(D51="","",IFERROR(INDEX(lst_tipo_nome,MATCH(D51,lst_tipo_id,0)),"Tipo não cadastrado em Listas"))</f>
        <v/>
      </c>
      <c r="F51" s="36" t="n"/>
      <c r="G51" s="36" t="n"/>
      <c r="H51" s="36" t="n"/>
      <c r="I51" s="39" t="n"/>
      <c r="J51" s="38">
        <f>IF(OR(B51="",D51="",H51="",I51=""),"",IF(B51=H51&amp;"-"&amp;IFERROR(INDEX(lst_tipo_sigla,MATCH(D51,lst_tipo_id,0)),"???")&amp;"-"&amp;RIGHT("00"&amp;I51,3),"OK","Verificar: TAG difere de setor-sigla-número"))</f>
        <v/>
      </c>
      <c r="K51" s="39" t="n"/>
      <c r="L51" s="39" t="n"/>
      <c r="M51" s="39" t="n"/>
      <c r="N51" s="39" t="n"/>
      <c r="O51" s="39" t="n"/>
      <c r="P51" s="38">
        <f>IF(COUNTA(A51:D51)+COUNTA(F51:I51)+COUNTA(K51:O51)=0,"",IF(ISNUMBER(K51),AND(K51=INT(K51),K51&gt;=1,K51&lt;=3),FALSE)+IF(ISNUMBER(L51),AND(L51=INT(L51),L51&gt;=1,L51&lt;=3),FALSE)+IF(ISNUMBER(M51),AND(M51=INT(M51),M51&gt;=1,M51&lt;=3),FALSE)+IF(ISNUMBER(N51),AND(N51=INT(N51),N51&gt;=1,N51&lt;=3),FALSE)+IF(ISNUMBER(O51),AND(O51=INT(O51),O51&gt;=1,O51&lt;=3),FALSE))</f>
        <v/>
      </c>
      <c r="Q51" s="38">
        <f>IF(P51=5,SUM(K51:O51),"")</f>
        <v/>
      </c>
      <c r="R51" s="38">
        <f>IF(P51="","",IF(P51&lt;5,"Pendente",IF(NOT(cad_limites_ok),"Pendente",IF(K51=3,"A",IF(Q51&gt;=cad_limite_a,"A",IF(Q51&gt;=cad_limite_b,"B","C"))))))</f>
        <v/>
      </c>
      <c r="S51" s="40">
        <f>IF(P51="","",IF(A51="","Pendente: falta o ID do ativo",IF(COUNTIF(at_id,A51)&gt;1,"ERRO: ID do ativo duplicado",IF(COUNTA(K51:O51)&gt;P51,"Pendente: nota inválida (use inteiro de 1 a 3)",IF(P51&lt;5,"Pendente: falta(m) "&amp;(5-P51)&amp;" nota(s)",IF(NOT(cad_limites_ok),"Pendente: corrija os limites A/B em Critérios",IF(K51=3,"A por Segurança = 3","Classe pela soma e limites")))))))</f>
        <v/>
      </c>
    </row>
    <row r="52">
      <c r="A52" s="36" t="n"/>
      <c r="B52" s="36" t="n"/>
      <c r="C52" s="37" t="n"/>
      <c r="D52" s="36" t="n"/>
      <c r="E52" s="38">
        <f>IF(D52="","",IFERROR(INDEX(lst_tipo_nome,MATCH(D52,lst_tipo_id,0)),"Tipo não cadastrado em Listas"))</f>
        <v/>
      </c>
      <c r="F52" s="36" t="n"/>
      <c r="G52" s="36" t="n"/>
      <c r="H52" s="36" t="n"/>
      <c r="I52" s="39" t="n"/>
      <c r="J52" s="38">
        <f>IF(OR(B52="",D52="",H52="",I52=""),"",IF(B52=H52&amp;"-"&amp;IFERROR(INDEX(lst_tipo_sigla,MATCH(D52,lst_tipo_id,0)),"???")&amp;"-"&amp;RIGHT("00"&amp;I52,3),"OK","Verificar: TAG difere de setor-sigla-número"))</f>
        <v/>
      </c>
      <c r="K52" s="39" t="n"/>
      <c r="L52" s="39" t="n"/>
      <c r="M52" s="39" t="n"/>
      <c r="N52" s="39" t="n"/>
      <c r="O52" s="39" t="n"/>
      <c r="P52" s="38">
        <f>IF(COUNTA(A52:D52)+COUNTA(F52:I52)+COUNTA(K52:O52)=0,"",IF(ISNUMBER(K52),AND(K52=INT(K52),K52&gt;=1,K52&lt;=3),FALSE)+IF(ISNUMBER(L52),AND(L52=INT(L52),L52&gt;=1,L52&lt;=3),FALSE)+IF(ISNUMBER(M52),AND(M52=INT(M52),M52&gt;=1,M52&lt;=3),FALSE)+IF(ISNUMBER(N52),AND(N52=INT(N52),N52&gt;=1,N52&lt;=3),FALSE)+IF(ISNUMBER(O52),AND(O52=INT(O52),O52&gt;=1,O52&lt;=3),FALSE))</f>
        <v/>
      </c>
      <c r="Q52" s="38">
        <f>IF(P52=5,SUM(K52:O52),"")</f>
        <v/>
      </c>
      <c r="R52" s="38">
        <f>IF(P52="","",IF(P52&lt;5,"Pendente",IF(NOT(cad_limites_ok),"Pendente",IF(K52=3,"A",IF(Q52&gt;=cad_limite_a,"A",IF(Q52&gt;=cad_limite_b,"B","C"))))))</f>
        <v/>
      </c>
      <c r="S52" s="40">
        <f>IF(P52="","",IF(A52="","Pendente: falta o ID do ativo",IF(COUNTIF(at_id,A52)&gt;1,"ERRO: ID do ativo duplicado",IF(COUNTA(K52:O52)&gt;P52,"Pendente: nota inválida (use inteiro de 1 a 3)",IF(P52&lt;5,"Pendente: falta(m) "&amp;(5-P52)&amp;" nota(s)",IF(NOT(cad_limites_ok),"Pendente: corrija os limites A/B em Critérios",IF(K52=3,"A por Segurança = 3","Classe pela soma e limites")))))))</f>
        <v/>
      </c>
    </row>
    <row r="53">
      <c r="A53" s="36" t="n"/>
      <c r="B53" s="36" t="n"/>
      <c r="C53" s="37" t="n"/>
      <c r="D53" s="36" t="n"/>
      <c r="E53" s="38">
        <f>IF(D53="","",IFERROR(INDEX(lst_tipo_nome,MATCH(D53,lst_tipo_id,0)),"Tipo não cadastrado em Listas"))</f>
        <v/>
      </c>
      <c r="F53" s="36" t="n"/>
      <c r="G53" s="36" t="n"/>
      <c r="H53" s="36" t="n"/>
      <c r="I53" s="39" t="n"/>
      <c r="J53" s="38">
        <f>IF(OR(B53="",D53="",H53="",I53=""),"",IF(B53=H53&amp;"-"&amp;IFERROR(INDEX(lst_tipo_sigla,MATCH(D53,lst_tipo_id,0)),"???")&amp;"-"&amp;RIGHT("00"&amp;I53,3),"OK","Verificar: TAG difere de setor-sigla-número"))</f>
        <v/>
      </c>
      <c r="K53" s="39" t="n"/>
      <c r="L53" s="39" t="n"/>
      <c r="M53" s="39" t="n"/>
      <c r="N53" s="39" t="n"/>
      <c r="O53" s="39" t="n"/>
      <c r="P53" s="38">
        <f>IF(COUNTA(A53:D53)+COUNTA(F53:I53)+COUNTA(K53:O53)=0,"",IF(ISNUMBER(K53),AND(K53=INT(K53),K53&gt;=1,K53&lt;=3),FALSE)+IF(ISNUMBER(L53),AND(L53=INT(L53),L53&gt;=1,L53&lt;=3),FALSE)+IF(ISNUMBER(M53),AND(M53=INT(M53),M53&gt;=1,M53&lt;=3),FALSE)+IF(ISNUMBER(N53),AND(N53=INT(N53),N53&gt;=1,N53&lt;=3),FALSE)+IF(ISNUMBER(O53),AND(O53=INT(O53),O53&gt;=1,O53&lt;=3),FALSE))</f>
        <v/>
      </c>
      <c r="Q53" s="38">
        <f>IF(P53=5,SUM(K53:O53),"")</f>
        <v/>
      </c>
      <c r="R53" s="38">
        <f>IF(P53="","",IF(P53&lt;5,"Pendente",IF(NOT(cad_limites_ok),"Pendente",IF(K53=3,"A",IF(Q53&gt;=cad_limite_a,"A",IF(Q53&gt;=cad_limite_b,"B","C"))))))</f>
        <v/>
      </c>
      <c r="S53" s="40">
        <f>IF(P53="","",IF(A53="","Pendente: falta o ID do ativo",IF(COUNTIF(at_id,A53)&gt;1,"ERRO: ID do ativo duplicado",IF(COUNTA(K53:O53)&gt;P53,"Pendente: nota inválida (use inteiro de 1 a 3)",IF(P53&lt;5,"Pendente: falta(m) "&amp;(5-P53)&amp;" nota(s)",IF(NOT(cad_limites_ok),"Pendente: corrija os limites A/B em Critérios",IF(K53=3,"A por Segurança = 3","Classe pela soma e limites")))))))</f>
        <v/>
      </c>
    </row>
    <row r="54">
      <c r="A54" s="36" t="n"/>
      <c r="B54" s="36" t="n"/>
      <c r="C54" s="37" t="n"/>
      <c r="D54" s="36" t="n"/>
      <c r="E54" s="38">
        <f>IF(D54="","",IFERROR(INDEX(lst_tipo_nome,MATCH(D54,lst_tipo_id,0)),"Tipo não cadastrado em Listas"))</f>
        <v/>
      </c>
      <c r="F54" s="36" t="n"/>
      <c r="G54" s="36" t="n"/>
      <c r="H54" s="36" t="n"/>
      <c r="I54" s="39" t="n"/>
      <c r="J54" s="38">
        <f>IF(OR(B54="",D54="",H54="",I54=""),"",IF(B54=H54&amp;"-"&amp;IFERROR(INDEX(lst_tipo_sigla,MATCH(D54,lst_tipo_id,0)),"???")&amp;"-"&amp;RIGHT("00"&amp;I54,3),"OK","Verificar: TAG difere de setor-sigla-número"))</f>
        <v/>
      </c>
      <c r="K54" s="39" t="n"/>
      <c r="L54" s="39" t="n"/>
      <c r="M54" s="39" t="n"/>
      <c r="N54" s="39" t="n"/>
      <c r="O54" s="39" t="n"/>
      <c r="P54" s="38">
        <f>IF(COUNTA(A54:D54)+COUNTA(F54:I54)+COUNTA(K54:O54)=0,"",IF(ISNUMBER(K54),AND(K54=INT(K54),K54&gt;=1,K54&lt;=3),FALSE)+IF(ISNUMBER(L54),AND(L54=INT(L54),L54&gt;=1,L54&lt;=3),FALSE)+IF(ISNUMBER(M54),AND(M54=INT(M54),M54&gt;=1,M54&lt;=3),FALSE)+IF(ISNUMBER(N54),AND(N54=INT(N54),N54&gt;=1,N54&lt;=3),FALSE)+IF(ISNUMBER(O54),AND(O54=INT(O54),O54&gt;=1,O54&lt;=3),FALSE))</f>
        <v/>
      </c>
      <c r="Q54" s="38">
        <f>IF(P54=5,SUM(K54:O54),"")</f>
        <v/>
      </c>
      <c r="R54" s="38">
        <f>IF(P54="","",IF(P54&lt;5,"Pendente",IF(NOT(cad_limites_ok),"Pendente",IF(K54=3,"A",IF(Q54&gt;=cad_limite_a,"A",IF(Q54&gt;=cad_limite_b,"B","C"))))))</f>
        <v/>
      </c>
      <c r="S54" s="40">
        <f>IF(P54="","",IF(A54="","Pendente: falta o ID do ativo",IF(COUNTIF(at_id,A54)&gt;1,"ERRO: ID do ativo duplicado",IF(COUNTA(K54:O54)&gt;P54,"Pendente: nota inválida (use inteiro de 1 a 3)",IF(P54&lt;5,"Pendente: falta(m) "&amp;(5-P54)&amp;" nota(s)",IF(NOT(cad_limites_ok),"Pendente: corrija os limites A/B em Critérios",IF(K54=3,"A por Segurança = 3","Classe pela soma e limites")))))))</f>
        <v/>
      </c>
    </row>
    <row r="55">
      <c r="A55" s="36" t="n"/>
      <c r="B55" s="36" t="n"/>
      <c r="C55" s="37" t="n"/>
      <c r="D55" s="36" t="n"/>
      <c r="E55" s="38">
        <f>IF(D55="","",IFERROR(INDEX(lst_tipo_nome,MATCH(D55,lst_tipo_id,0)),"Tipo não cadastrado em Listas"))</f>
        <v/>
      </c>
      <c r="F55" s="36" t="n"/>
      <c r="G55" s="36" t="n"/>
      <c r="H55" s="36" t="n"/>
      <c r="I55" s="39" t="n"/>
      <c r="J55" s="38">
        <f>IF(OR(B55="",D55="",H55="",I55=""),"",IF(B55=H55&amp;"-"&amp;IFERROR(INDEX(lst_tipo_sigla,MATCH(D55,lst_tipo_id,0)),"???")&amp;"-"&amp;RIGHT("00"&amp;I55,3),"OK","Verificar: TAG difere de setor-sigla-número"))</f>
        <v/>
      </c>
      <c r="K55" s="39" t="n"/>
      <c r="L55" s="39" t="n"/>
      <c r="M55" s="39" t="n"/>
      <c r="N55" s="39" t="n"/>
      <c r="O55" s="39" t="n"/>
      <c r="P55" s="38">
        <f>IF(COUNTA(A55:D55)+COUNTA(F55:I55)+COUNTA(K55:O55)=0,"",IF(ISNUMBER(K55),AND(K55=INT(K55),K55&gt;=1,K55&lt;=3),FALSE)+IF(ISNUMBER(L55),AND(L55=INT(L55),L55&gt;=1,L55&lt;=3),FALSE)+IF(ISNUMBER(M55),AND(M55=INT(M55),M55&gt;=1,M55&lt;=3),FALSE)+IF(ISNUMBER(N55),AND(N55=INT(N55),N55&gt;=1,N55&lt;=3),FALSE)+IF(ISNUMBER(O55),AND(O55=INT(O55),O55&gt;=1,O55&lt;=3),FALSE))</f>
        <v/>
      </c>
      <c r="Q55" s="38">
        <f>IF(P55=5,SUM(K55:O55),"")</f>
        <v/>
      </c>
      <c r="R55" s="38">
        <f>IF(P55="","",IF(P55&lt;5,"Pendente",IF(NOT(cad_limites_ok),"Pendente",IF(K55=3,"A",IF(Q55&gt;=cad_limite_a,"A",IF(Q55&gt;=cad_limite_b,"B","C"))))))</f>
        <v/>
      </c>
      <c r="S55" s="40">
        <f>IF(P55="","",IF(A55="","Pendente: falta o ID do ativo",IF(COUNTIF(at_id,A55)&gt;1,"ERRO: ID do ativo duplicado",IF(COUNTA(K55:O55)&gt;P55,"Pendente: nota inválida (use inteiro de 1 a 3)",IF(P55&lt;5,"Pendente: falta(m) "&amp;(5-P55)&amp;" nota(s)",IF(NOT(cad_limites_ok),"Pendente: corrija os limites A/B em Critérios",IF(K55=3,"A por Segurança = 3","Classe pela soma e limites")))))))</f>
        <v/>
      </c>
    </row>
    <row r="56">
      <c r="A56" s="36" t="n"/>
      <c r="B56" s="36" t="n"/>
      <c r="C56" s="37" t="n"/>
      <c r="D56" s="36" t="n"/>
      <c r="E56" s="38">
        <f>IF(D56="","",IFERROR(INDEX(lst_tipo_nome,MATCH(D56,lst_tipo_id,0)),"Tipo não cadastrado em Listas"))</f>
        <v/>
      </c>
      <c r="F56" s="36" t="n"/>
      <c r="G56" s="36" t="n"/>
      <c r="H56" s="36" t="n"/>
      <c r="I56" s="39" t="n"/>
      <c r="J56" s="38">
        <f>IF(OR(B56="",D56="",H56="",I56=""),"",IF(B56=H56&amp;"-"&amp;IFERROR(INDEX(lst_tipo_sigla,MATCH(D56,lst_tipo_id,0)),"???")&amp;"-"&amp;RIGHT("00"&amp;I56,3),"OK","Verificar: TAG difere de setor-sigla-número"))</f>
        <v/>
      </c>
      <c r="K56" s="39" t="n"/>
      <c r="L56" s="39" t="n"/>
      <c r="M56" s="39" t="n"/>
      <c r="N56" s="39" t="n"/>
      <c r="O56" s="39" t="n"/>
      <c r="P56" s="38">
        <f>IF(COUNTA(A56:D56)+COUNTA(F56:I56)+COUNTA(K56:O56)=0,"",IF(ISNUMBER(K56),AND(K56=INT(K56),K56&gt;=1,K56&lt;=3),FALSE)+IF(ISNUMBER(L56),AND(L56=INT(L56),L56&gt;=1,L56&lt;=3),FALSE)+IF(ISNUMBER(M56),AND(M56=INT(M56),M56&gt;=1,M56&lt;=3),FALSE)+IF(ISNUMBER(N56),AND(N56=INT(N56),N56&gt;=1,N56&lt;=3),FALSE)+IF(ISNUMBER(O56),AND(O56=INT(O56),O56&gt;=1,O56&lt;=3),FALSE))</f>
        <v/>
      </c>
      <c r="Q56" s="38">
        <f>IF(P56=5,SUM(K56:O56),"")</f>
        <v/>
      </c>
      <c r="R56" s="38">
        <f>IF(P56="","",IF(P56&lt;5,"Pendente",IF(NOT(cad_limites_ok),"Pendente",IF(K56=3,"A",IF(Q56&gt;=cad_limite_a,"A",IF(Q56&gt;=cad_limite_b,"B","C"))))))</f>
        <v/>
      </c>
      <c r="S56" s="40">
        <f>IF(P56="","",IF(A56="","Pendente: falta o ID do ativo",IF(COUNTIF(at_id,A56)&gt;1,"ERRO: ID do ativo duplicado",IF(COUNTA(K56:O56)&gt;P56,"Pendente: nota inválida (use inteiro de 1 a 3)",IF(P56&lt;5,"Pendente: falta(m) "&amp;(5-P56)&amp;" nota(s)",IF(NOT(cad_limites_ok),"Pendente: corrija os limites A/B em Critérios",IF(K56=3,"A por Segurança = 3","Classe pela soma e limites")))))))</f>
        <v/>
      </c>
    </row>
    <row r="57">
      <c r="A57" s="36" t="n"/>
      <c r="B57" s="36" t="n"/>
      <c r="C57" s="37" t="n"/>
      <c r="D57" s="36" t="n"/>
      <c r="E57" s="38">
        <f>IF(D57="","",IFERROR(INDEX(lst_tipo_nome,MATCH(D57,lst_tipo_id,0)),"Tipo não cadastrado em Listas"))</f>
        <v/>
      </c>
      <c r="F57" s="36" t="n"/>
      <c r="G57" s="36" t="n"/>
      <c r="H57" s="36" t="n"/>
      <c r="I57" s="39" t="n"/>
      <c r="J57" s="38">
        <f>IF(OR(B57="",D57="",H57="",I57=""),"",IF(B57=H57&amp;"-"&amp;IFERROR(INDEX(lst_tipo_sigla,MATCH(D57,lst_tipo_id,0)),"???")&amp;"-"&amp;RIGHT("00"&amp;I57,3),"OK","Verificar: TAG difere de setor-sigla-número"))</f>
        <v/>
      </c>
      <c r="K57" s="39" t="n"/>
      <c r="L57" s="39" t="n"/>
      <c r="M57" s="39" t="n"/>
      <c r="N57" s="39" t="n"/>
      <c r="O57" s="39" t="n"/>
      <c r="P57" s="38">
        <f>IF(COUNTA(A57:D57)+COUNTA(F57:I57)+COUNTA(K57:O57)=0,"",IF(ISNUMBER(K57),AND(K57=INT(K57),K57&gt;=1,K57&lt;=3),FALSE)+IF(ISNUMBER(L57),AND(L57=INT(L57),L57&gt;=1,L57&lt;=3),FALSE)+IF(ISNUMBER(M57),AND(M57=INT(M57),M57&gt;=1,M57&lt;=3),FALSE)+IF(ISNUMBER(N57),AND(N57=INT(N57),N57&gt;=1,N57&lt;=3),FALSE)+IF(ISNUMBER(O57),AND(O57=INT(O57),O57&gt;=1,O57&lt;=3),FALSE))</f>
        <v/>
      </c>
      <c r="Q57" s="38">
        <f>IF(P57=5,SUM(K57:O57),"")</f>
        <v/>
      </c>
      <c r="R57" s="38">
        <f>IF(P57="","",IF(P57&lt;5,"Pendente",IF(NOT(cad_limites_ok),"Pendente",IF(K57=3,"A",IF(Q57&gt;=cad_limite_a,"A",IF(Q57&gt;=cad_limite_b,"B","C"))))))</f>
        <v/>
      </c>
      <c r="S57" s="40">
        <f>IF(P57="","",IF(A57="","Pendente: falta o ID do ativo",IF(COUNTIF(at_id,A57)&gt;1,"ERRO: ID do ativo duplicado",IF(COUNTA(K57:O57)&gt;P57,"Pendente: nota inválida (use inteiro de 1 a 3)",IF(P57&lt;5,"Pendente: falta(m) "&amp;(5-P57)&amp;" nota(s)",IF(NOT(cad_limites_ok),"Pendente: corrija os limites A/B em Critérios",IF(K57=3,"A por Segurança = 3","Classe pela soma e limites")))))))</f>
        <v/>
      </c>
    </row>
    <row r="58">
      <c r="A58" s="36" t="n"/>
      <c r="B58" s="36" t="n"/>
      <c r="C58" s="37" t="n"/>
      <c r="D58" s="36" t="n"/>
      <c r="E58" s="38">
        <f>IF(D58="","",IFERROR(INDEX(lst_tipo_nome,MATCH(D58,lst_tipo_id,0)),"Tipo não cadastrado em Listas"))</f>
        <v/>
      </c>
      <c r="F58" s="36" t="n"/>
      <c r="G58" s="36" t="n"/>
      <c r="H58" s="36" t="n"/>
      <c r="I58" s="39" t="n"/>
      <c r="J58" s="38">
        <f>IF(OR(B58="",D58="",H58="",I58=""),"",IF(B58=H58&amp;"-"&amp;IFERROR(INDEX(lst_tipo_sigla,MATCH(D58,lst_tipo_id,0)),"???")&amp;"-"&amp;RIGHT("00"&amp;I58,3),"OK","Verificar: TAG difere de setor-sigla-número"))</f>
        <v/>
      </c>
      <c r="K58" s="39" t="n"/>
      <c r="L58" s="39" t="n"/>
      <c r="M58" s="39" t="n"/>
      <c r="N58" s="39" t="n"/>
      <c r="O58" s="39" t="n"/>
      <c r="P58" s="38">
        <f>IF(COUNTA(A58:D58)+COUNTA(F58:I58)+COUNTA(K58:O58)=0,"",IF(ISNUMBER(K58),AND(K58=INT(K58),K58&gt;=1,K58&lt;=3),FALSE)+IF(ISNUMBER(L58),AND(L58=INT(L58),L58&gt;=1,L58&lt;=3),FALSE)+IF(ISNUMBER(M58),AND(M58=INT(M58),M58&gt;=1,M58&lt;=3),FALSE)+IF(ISNUMBER(N58),AND(N58=INT(N58),N58&gt;=1,N58&lt;=3),FALSE)+IF(ISNUMBER(O58),AND(O58=INT(O58),O58&gt;=1,O58&lt;=3),FALSE))</f>
        <v/>
      </c>
      <c r="Q58" s="38">
        <f>IF(P58=5,SUM(K58:O58),"")</f>
        <v/>
      </c>
      <c r="R58" s="38">
        <f>IF(P58="","",IF(P58&lt;5,"Pendente",IF(NOT(cad_limites_ok),"Pendente",IF(K58=3,"A",IF(Q58&gt;=cad_limite_a,"A",IF(Q58&gt;=cad_limite_b,"B","C"))))))</f>
        <v/>
      </c>
      <c r="S58" s="40">
        <f>IF(P58="","",IF(A58="","Pendente: falta o ID do ativo",IF(COUNTIF(at_id,A58)&gt;1,"ERRO: ID do ativo duplicado",IF(COUNTA(K58:O58)&gt;P58,"Pendente: nota inválida (use inteiro de 1 a 3)",IF(P58&lt;5,"Pendente: falta(m) "&amp;(5-P58)&amp;" nota(s)",IF(NOT(cad_limites_ok),"Pendente: corrija os limites A/B em Critérios",IF(K58=3,"A por Segurança = 3","Classe pela soma e limites")))))))</f>
        <v/>
      </c>
    </row>
    <row r="59">
      <c r="A59" s="36" t="n"/>
      <c r="B59" s="36" t="n"/>
      <c r="C59" s="37" t="n"/>
      <c r="D59" s="36" t="n"/>
      <c r="E59" s="38">
        <f>IF(D59="","",IFERROR(INDEX(lst_tipo_nome,MATCH(D59,lst_tipo_id,0)),"Tipo não cadastrado em Listas"))</f>
        <v/>
      </c>
      <c r="F59" s="36" t="n"/>
      <c r="G59" s="36" t="n"/>
      <c r="H59" s="36" t="n"/>
      <c r="I59" s="39" t="n"/>
      <c r="J59" s="38">
        <f>IF(OR(B59="",D59="",H59="",I59=""),"",IF(B59=H59&amp;"-"&amp;IFERROR(INDEX(lst_tipo_sigla,MATCH(D59,lst_tipo_id,0)),"???")&amp;"-"&amp;RIGHT("00"&amp;I59,3),"OK","Verificar: TAG difere de setor-sigla-número"))</f>
        <v/>
      </c>
      <c r="K59" s="39" t="n"/>
      <c r="L59" s="39" t="n"/>
      <c r="M59" s="39" t="n"/>
      <c r="N59" s="39" t="n"/>
      <c r="O59" s="39" t="n"/>
      <c r="P59" s="38">
        <f>IF(COUNTA(A59:D59)+COUNTA(F59:I59)+COUNTA(K59:O59)=0,"",IF(ISNUMBER(K59),AND(K59=INT(K59),K59&gt;=1,K59&lt;=3),FALSE)+IF(ISNUMBER(L59),AND(L59=INT(L59),L59&gt;=1,L59&lt;=3),FALSE)+IF(ISNUMBER(M59),AND(M59=INT(M59),M59&gt;=1,M59&lt;=3),FALSE)+IF(ISNUMBER(N59),AND(N59=INT(N59),N59&gt;=1,N59&lt;=3),FALSE)+IF(ISNUMBER(O59),AND(O59=INT(O59),O59&gt;=1,O59&lt;=3),FALSE))</f>
        <v/>
      </c>
      <c r="Q59" s="38">
        <f>IF(P59=5,SUM(K59:O59),"")</f>
        <v/>
      </c>
      <c r="R59" s="38">
        <f>IF(P59="","",IF(P59&lt;5,"Pendente",IF(NOT(cad_limites_ok),"Pendente",IF(K59=3,"A",IF(Q59&gt;=cad_limite_a,"A",IF(Q59&gt;=cad_limite_b,"B","C"))))))</f>
        <v/>
      </c>
      <c r="S59" s="40">
        <f>IF(P59="","",IF(A59="","Pendente: falta o ID do ativo",IF(COUNTIF(at_id,A59)&gt;1,"ERRO: ID do ativo duplicado",IF(COUNTA(K59:O59)&gt;P59,"Pendente: nota inválida (use inteiro de 1 a 3)",IF(P59&lt;5,"Pendente: falta(m) "&amp;(5-P59)&amp;" nota(s)",IF(NOT(cad_limites_ok),"Pendente: corrija os limites A/B em Critérios",IF(K59=3,"A por Segurança = 3","Classe pela soma e limites")))))))</f>
        <v/>
      </c>
    </row>
    <row r="60">
      <c r="A60" s="36" t="n"/>
      <c r="B60" s="36" t="n"/>
      <c r="C60" s="37" t="n"/>
      <c r="D60" s="36" t="n"/>
      <c r="E60" s="38">
        <f>IF(D60="","",IFERROR(INDEX(lst_tipo_nome,MATCH(D60,lst_tipo_id,0)),"Tipo não cadastrado em Listas"))</f>
        <v/>
      </c>
      <c r="F60" s="36" t="n"/>
      <c r="G60" s="36" t="n"/>
      <c r="H60" s="36" t="n"/>
      <c r="I60" s="39" t="n"/>
      <c r="J60" s="38">
        <f>IF(OR(B60="",D60="",H60="",I60=""),"",IF(B60=H60&amp;"-"&amp;IFERROR(INDEX(lst_tipo_sigla,MATCH(D60,lst_tipo_id,0)),"???")&amp;"-"&amp;RIGHT("00"&amp;I60,3),"OK","Verificar: TAG difere de setor-sigla-número"))</f>
        <v/>
      </c>
      <c r="K60" s="39" t="n"/>
      <c r="L60" s="39" t="n"/>
      <c r="M60" s="39" t="n"/>
      <c r="N60" s="39" t="n"/>
      <c r="O60" s="39" t="n"/>
      <c r="P60" s="38">
        <f>IF(COUNTA(A60:D60)+COUNTA(F60:I60)+COUNTA(K60:O60)=0,"",IF(ISNUMBER(K60),AND(K60=INT(K60),K60&gt;=1,K60&lt;=3),FALSE)+IF(ISNUMBER(L60),AND(L60=INT(L60),L60&gt;=1,L60&lt;=3),FALSE)+IF(ISNUMBER(M60),AND(M60=INT(M60),M60&gt;=1,M60&lt;=3),FALSE)+IF(ISNUMBER(N60),AND(N60=INT(N60),N60&gt;=1,N60&lt;=3),FALSE)+IF(ISNUMBER(O60),AND(O60=INT(O60),O60&gt;=1,O60&lt;=3),FALSE))</f>
        <v/>
      </c>
      <c r="Q60" s="38">
        <f>IF(P60=5,SUM(K60:O60),"")</f>
        <v/>
      </c>
      <c r="R60" s="38">
        <f>IF(P60="","",IF(P60&lt;5,"Pendente",IF(NOT(cad_limites_ok),"Pendente",IF(K60=3,"A",IF(Q60&gt;=cad_limite_a,"A",IF(Q60&gt;=cad_limite_b,"B","C"))))))</f>
        <v/>
      </c>
      <c r="S60" s="40">
        <f>IF(P60="","",IF(A60="","Pendente: falta o ID do ativo",IF(COUNTIF(at_id,A60)&gt;1,"ERRO: ID do ativo duplicado",IF(COUNTA(K60:O60)&gt;P60,"Pendente: nota inválida (use inteiro de 1 a 3)",IF(P60&lt;5,"Pendente: falta(m) "&amp;(5-P60)&amp;" nota(s)",IF(NOT(cad_limites_ok),"Pendente: corrija os limites A/B em Critérios",IF(K60=3,"A por Segurança = 3","Classe pela soma e limites")))))))</f>
        <v/>
      </c>
    </row>
    <row r="61">
      <c r="A61" s="36" t="n"/>
      <c r="B61" s="36" t="n"/>
      <c r="C61" s="37" t="n"/>
      <c r="D61" s="36" t="n"/>
      <c r="E61" s="38">
        <f>IF(D61="","",IFERROR(INDEX(lst_tipo_nome,MATCH(D61,lst_tipo_id,0)),"Tipo não cadastrado em Listas"))</f>
        <v/>
      </c>
      <c r="F61" s="36" t="n"/>
      <c r="G61" s="36" t="n"/>
      <c r="H61" s="36" t="n"/>
      <c r="I61" s="39" t="n"/>
      <c r="J61" s="38">
        <f>IF(OR(B61="",D61="",H61="",I61=""),"",IF(B61=H61&amp;"-"&amp;IFERROR(INDEX(lst_tipo_sigla,MATCH(D61,lst_tipo_id,0)),"???")&amp;"-"&amp;RIGHT("00"&amp;I61,3),"OK","Verificar: TAG difere de setor-sigla-número"))</f>
        <v/>
      </c>
      <c r="K61" s="39" t="n"/>
      <c r="L61" s="39" t="n"/>
      <c r="M61" s="39" t="n"/>
      <c r="N61" s="39" t="n"/>
      <c r="O61" s="39" t="n"/>
      <c r="P61" s="38">
        <f>IF(COUNTA(A61:D61)+COUNTA(F61:I61)+COUNTA(K61:O61)=0,"",IF(ISNUMBER(K61),AND(K61=INT(K61),K61&gt;=1,K61&lt;=3),FALSE)+IF(ISNUMBER(L61),AND(L61=INT(L61),L61&gt;=1,L61&lt;=3),FALSE)+IF(ISNUMBER(M61),AND(M61=INT(M61),M61&gt;=1,M61&lt;=3),FALSE)+IF(ISNUMBER(N61),AND(N61=INT(N61),N61&gt;=1,N61&lt;=3),FALSE)+IF(ISNUMBER(O61),AND(O61=INT(O61),O61&gt;=1,O61&lt;=3),FALSE))</f>
        <v/>
      </c>
      <c r="Q61" s="38">
        <f>IF(P61=5,SUM(K61:O61),"")</f>
        <v/>
      </c>
      <c r="R61" s="38">
        <f>IF(P61="","",IF(P61&lt;5,"Pendente",IF(NOT(cad_limites_ok),"Pendente",IF(K61=3,"A",IF(Q61&gt;=cad_limite_a,"A",IF(Q61&gt;=cad_limite_b,"B","C"))))))</f>
        <v/>
      </c>
      <c r="S61" s="40">
        <f>IF(P61="","",IF(A61="","Pendente: falta o ID do ativo",IF(COUNTIF(at_id,A61)&gt;1,"ERRO: ID do ativo duplicado",IF(COUNTA(K61:O61)&gt;P61,"Pendente: nota inválida (use inteiro de 1 a 3)",IF(P61&lt;5,"Pendente: falta(m) "&amp;(5-P61)&amp;" nota(s)",IF(NOT(cad_limites_ok),"Pendente: corrija os limites A/B em Critérios",IF(K61=3,"A por Segurança = 3","Classe pela soma e limites")))))))</f>
        <v/>
      </c>
    </row>
    <row r="62">
      <c r="A62" s="36" t="n"/>
      <c r="B62" s="36" t="n"/>
      <c r="C62" s="37" t="n"/>
      <c r="D62" s="36" t="n"/>
      <c r="E62" s="38">
        <f>IF(D62="","",IFERROR(INDEX(lst_tipo_nome,MATCH(D62,lst_tipo_id,0)),"Tipo não cadastrado em Listas"))</f>
        <v/>
      </c>
      <c r="F62" s="36" t="n"/>
      <c r="G62" s="36" t="n"/>
      <c r="H62" s="36" t="n"/>
      <c r="I62" s="39" t="n"/>
      <c r="J62" s="38">
        <f>IF(OR(B62="",D62="",H62="",I62=""),"",IF(B62=H62&amp;"-"&amp;IFERROR(INDEX(lst_tipo_sigla,MATCH(D62,lst_tipo_id,0)),"???")&amp;"-"&amp;RIGHT("00"&amp;I62,3),"OK","Verificar: TAG difere de setor-sigla-número"))</f>
        <v/>
      </c>
      <c r="K62" s="39" t="n"/>
      <c r="L62" s="39" t="n"/>
      <c r="M62" s="39" t="n"/>
      <c r="N62" s="39" t="n"/>
      <c r="O62" s="39" t="n"/>
      <c r="P62" s="38">
        <f>IF(COUNTA(A62:D62)+COUNTA(F62:I62)+COUNTA(K62:O62)=0,"",IF(ISNUMBER(K62),AND(K62=INT(K62),K62&gt;=1,K62&lt;=3),FALSE)+IF(ISNUMBER(L62),AND(L62=INT(L62),L62&gt;=1,L62&lt;=3),FALSE)+IF(ISNUMBER(M62),AND(M62=INT(M62),M62&gt;=1,M62&lt;=3),FALSE)+IF(ISNUMBER(N62),AND(N62=INT(N62),N62&gt;=1,N62&lt;=3),FALSE)+IF(ISNUMBER(O62),AND(O62=INT(O62),O62&gt;=1,O62&lt;=3),FALSE))</f>
        <v/>
      </c>
      <c r="Q62" s="38">
        <f>IF(P62=5,SUM(K62:O62),"")</f>
        <v/>
      </c>
      <c r="R62" s="38">
        <f>IF(P62="","",IF(P62&lt;5,"Pendente",IF(NOT(cad_limites_ok),"Pendente",IF(K62=3,"A",IF(Q62&gt;=cad_limite_a,"A",IF(Q62&gt;=cad_limite_b,"B","C"))))))</f>
        <v/>
      </c>
      <c r="S62" s="40">
        <f>IF(P62="","",IF(A62="","Pendente: falta o ID do ativo",IF(COUNTIF(at_id,A62)&gt;1,"ERRO: ID do ativo duplicado",IF(COUNTA(K62:O62)&gt;P62,"Pendente: nota inválida (use inteiro de 1 a 3)",IF(P62&lt;5,"Pendente: falta(m) "&amp;(5-P62)&amp;" nota(s)",IF(NOT(cad_limites_ok),"Pendente: corrija os limites A/B em Critérios",IF(K62=3,"A por Segurança = 3","Classe pela soma e limites")))))))</f>
        <v/>
      </c>
    </row>
    <row r="63">
      <c r="A63" s="36" t="n"/>
      <c r="B63" s="36" t="n"/>
      <c r="C63" s="37" t="n"/>
      <c r="D63" s="36" t="n"/>
      <c r="E63" s="38">
        <f>IF(D63="","",IFERROR(INDEX(lst_tipo_nome,MATCH(D63,lst_tipo_id,0)),"Tipo não cadastrado em Listas"))</f>
        <v/>
      </c>
      <c r="F63" s="36" t="n"/>
      <c r="G63" s="36" t="n"/>
      <c r="H63" s="36" t="n"/>
      <c r="I63" s="39" t="n"/>
      <c r="J63" s="38">
        <f>IF(OR(B63="",D63="",H63="",I63=""),"",IF(B63=H63&amp;"-"&amp;IFERROR(INDEX(lst_tipo_sigla,MATCH(D63,lst_tipo_id,0)),"???")&amp;"-"&amp;RIGHT("00"&amp;I63,3),"OK","Verificar: TAG difere de setor-sigla-número"))</f>
        <v/>
      </c>
      <c r="K63" s="39" t="n"/>
      <c r="L63" s="39" t="n"/>
      <c r="M63" s="39" t="n"/>
      <c r="N63" s="39" t="n"/>
      <c r="O63" s="39" t="n"/>
      <c r="P63" s="38">
        <f>IF(COUNTA(A63:D63)+COUNTA(F63:I63)+COUNTA(K63:O63)=0,"",IF(ISNUMBER(K63),AND(K63=INT(K63),K63&gt;=1,K63&lt;=3),FALSE)+IF(ISNUMBER(L63),AND(L63=INT(L63),L63&gt;=1,L63&lt;=3),FALSE)+IF(ISNUMBER(M63),AND(M63=INT(M63),M63&gt;=1,M63&lt;=3),FALSE)+IF(ISNUMBER(N63),AND(N63=INT(N63),N63&gt;=1,N63&lt;=3),FALSE)+IF(ISNUMBER(O63),AND(O63=INT(O63),O63&gt;=1,O63&lt;=3),FALSE))</f>
        <v/>
      </c>
      <c r="Q63" s="38">
        <f>IF(P63=5,SUM(K63:O63),"")</f>
        <v/>
      </c>
      <c r="R63" s="38">
        <f>IF(P63="","",IF(P63&lt;5,"Pendente",IF(NOT(cad_limites_ok),"Pendente",IF(K63=3,"A",IF(Q63&gt;=cad_limite_a,"A",IF(Q63&gt;=cad_limite_b,"B","C"))))))</f>
        <v/>
      </c>
      <c r="S63" s="40">
        <f>IF(P63="","",IF(A63="","Pendente: falta o ID do ativo",IF(COUNTIF(at_id,A63)&gt;1,"ERRO: ID do ativo duplicado",IF(COUNTA(K63:O63)&gt;P63,"Pendente: nota inválida (use inteiro de 1 a 3)",IF(P63&lt;5,"Pendente: falta(m) "&amp;(5-P63)&amp;" nota(s)",IF(NOT(cad_limites_ok),"Pendente: corrija os limites A/B em Critérios",IF(K63=3,"A por Segurança = 3","Classe pela soma e limites")))))))</f>
        <v/>
      </c>
    </row>
    <row r="64">
      <c r="A64" s="36" t="n"/>
      <c r="B64" s="36" t="n"/>
      <c r="C64" s="37" t="n"/>
      <c r="D64" s="36" t="n"/>
      <c r="E64" s="38">
        <f>IF(D64="","",IFERROR(INDEX(lst_tipo_nome,MATCH(D64,lst_tipo_id,0)),"Tipo não cadastrado em Listas"))</f>
        <v/>
      </c>
      <c r="F64" s="36" t="n"/>
      <c r="G64" s="36" t="n"/>
      <c r="H64" s="36" t="n"/>
      <c r="I64" s="39" t="n"/>
      <c r="J64" s="38">
        <f>IF(OR(B64="",D64="",H64="",I64=""),"",IF(B64=H64&amp;"-"&amp;IFERROR(INDEX(lst_tipo_sigla,MATCH(D64,lst_tipo_id,0)),"???")&amp;"-"&amp;RIGHT("00"&amp;I64,3),"OK","Verificar: TAG difere de setor-sigla-número"))</f>
        <v/>
      </c>
      <c r="K64" s="39" t="n"/>
      <c r="L64" s="39" t="n"/>
      <c r="M64" s="39" t="n"/>
      <c r="N64" s="39" t="n"/>
      <c r="O64" s="39" t="n"/>
      <c r="P64" s="38">
        <f>IF(COUNTA(A64:D64)+COUNTA(F64:I64)+COUNTA(K64:O64)=0,"",IF(ISNUMBER(K64),AND(K64=INT(K64),K64&gt;=1,K64&lt;=3),FALSE)+IF(ISNUMBER(L64),AND(L64=INT(L64),L64&gt;=1,L64&lt;=3),FALSE)+IF(ISNUMBER(M64),AND(M64=INT(M64),M64&gt;=1,M64&lt;=3),FALSE)+IF(ISNUMBER(N64),AND(N64=INT(N64),N64&gt;=1,N64&lt;=3),FALSE)+IF(ISNUMBER(O64),AND(O64=INT(O64),O64&gt;=1,O64&lt;=3),FALSE))</f>
        <v/>
      </c>
      <c r="Q64" s="38">
        <f>IF(P64=5,SUM(K64:O64),"")</f>
        <v/>
      </c>
      <c r="R64" s="38">
        <f>IF(P64="","",IF(P64&lt;5,"Pendente",IF(NOT(cad_limites_ok),"Pendente",IF(K64=3,"A",IF(Q64&gt;=cad_limite_a,"A",IF(Q64&gt;=cad_limite_b,"B","C"))))))</f>
        <v/>
      </c>
      <c r="S64" s="40">
        <f>IF(P64="","",IF(A64="","Pendente: falta o ID do ativo",IF(COUNTIF(at_id,A64)&gt;1,"ERRO: ID do ativo duplicado",IF(COUNTA(K64:O64)&gt;P64,"Pendente: nota inválida (use inteiro de 1 a 3)",IF(P64&lt;5,"Pendente: falta(m) "&amp;(5-P64)&amp;" nota(s)",IF(NOT(cad_limites_ok),"Pendente: corrija os limites A/B em Critérios",IF(K64=3,"A por Segurança = 3","Classe pela soma e limites")))))))</f>
        <v/>
      </c>
    </row>
    <row r="65">
      <c r="A65" s="36" t="n"/>
      <c r="B65" s="36" t="n"/>
      <c r="C65" s="37" t="n"/>
      <c r="D65" s="36" t="n"/>
      <c r="E65" s="38">
        <f>IF(D65="","",IFERROR(INDEX(lst_tipo_nome,MATCH(D65,lst_tipo_id,0)),"Tipo não cadastrado em Listas"))</f>
        <v/>
      </c>
      <c r="F65" s="36" t="n"/>
      <c r="G65" s="36" t="n"/>
      <c r="H65" s="36" t="n"/>
      <c r="I65" s="39" t="n"/>
      <c r="J65" s="38">
        <f>IF(OR(B65="",D65="",H65="",I65=""),"",IF(B65=H65&amp;"-"&amp;IFERROR(INDEX(lst_tipo_sigla,MATCH(D65,lst_tipo_id,0)),"???")&amp;"-"&amp;RIGHT("00"&amp;I65,3),"OK","Verificar: TAG difere de setor-sigla-número"))</f>
        <v/>
      </c>
      <c r="K65" s="39" t="n"/>
      <c r="L65" s="39" t="n"/>
      <c r="M65" s="39" t="n"/>
      <c r="N65" s="39" t="n"/>
      <c r="O65" s="39" t="n"/>
      <c r="P65" s="38">
        <f>IF(COUNTA(A65:D65)+COUNTA(F65:I65)+COUNTA(K65:O65)=0,"",IF(ISNUMBER(K65),AND(K65=INT(K65),K65&gt;=1,K65&lt;=3),FALSE)+IF(ISNUMBER(L65),AND(L65=INT(L65),L65&gt;=1,L65&lt;=3),FALSE)+IF(ISNUMBER(M65),AND(M65=INT(M65),M65&gt;=1,M65&lt;=3),FALSE)+IF(ISNUMBER(N65),AND(N65=INT(N65),N65&gt;=1,N65&lt;=3),FALSE)+IF(ISNUMBER(O65),AND(O65=INT(O65),O65&gt;=1,O65&lt;=3),FALSE))</f>
        <v/>
      </c>
      <c r="Q65" s="38">
        <f>IF(P65=5,SUM(K65:O65),"")</f>
        <v/>
      </c>
      <c r="R65" s="38">
        <f>IF(P65="","",IF(P65&lt;5,"Pendente",IF(NOT(cad_limites_ok),"Pendente",IF(K65=3,"A",IF(Q65&gt;=cad_limite_a,"A",IF(Q65&gt;=cad_limite_b,"B","C"))))))</f>
        <v/>
      </c>
      <c r="S65" s="40">
        <f>IF(P65="","",IF(A65="","Pendente: falta o ID do ativo",IF(COUNTIF(at_id,A65)&gt;1,"ERRO: ID do ativo duplicado",IF(COUNTA(K65:O65)&gt;P65,"Pendente: nota inválida (use inteiro de 1 a 3)",IF(P65&lt;5,"Pendente: falta(m) "&amp;(5-P65)&amp;" nota(s)",IF(NOT(cad_limites_ok),"Pendente: corrija os limites A/B em Critérios",IF(K65=3,"A por Segurança = 3","Classe pela soma e limites")))))))</f>
        <v/>
      </c>
    </row>
    <row r="66">
      <c r="A66" s="36" t="n"/>
      <c r="B66" s="36" t="n"/>
      <c r="C66" s="37" t="n"/>
      <c r="D66" s="36" t="n"/>
      <c r="E66" s="38">
        <f>IF(D66="","",IFERROR(INDEX(lst_tipo_nome,MATCH(D66,lst_tipo_id,0)),"Tipo não cadastrado em Listas"))</f>
        <v/>
      </c>
      <c r="F66" s="36" t="n"/>
      <c r="G66" s="36" t="n"/>
      <c r="H66" s="36" t="n"/>
      <c r="I66" s="39" t="n"/>
      <c r="J66" s="38">
        <f>IF(OR(B66="",D66="",H66="",I66=""),"",IF(B66=H66&amp;"-"&amp;IFERROR(INDEX(lst_tipo_sigla,MATCH(D66,lst_tipo_id,0)),"???")&amp;"-"&amp;RIGHT("00"&amp;I66,3),"OK","Verificar: TAG difere de setor-sigla-número"))</f>
        <v/>
      </c>
      <c r="K66" s="39" t="n"/>
      <c r="L66" s="39" t="n"/>
      <c r="M66" s="39" t="n"/>
      <c r="N66" s="39" t="n"/>
      <c r="O66" s="39" t="n"/>
      <c r="P66" s="38">
        <f>IF(COUNTA(A66:D66)+COUNTA(F66:I66)+COUNTA(K66:O66)=0,"",IF(ISNUMBER(K66),AND(K66=INT(K66),K66&gt;=1,K66&lt;=3),FALSE)+IF(ISNUMBER(L66),AND(L66=INT(L66),L66&gt;=1,L66&lt;=3),FALSE)+IF(ISNUMBER(M66),AND(M66=INT(M66),M66&gt;=1,M66&lt;=3),FALSE)+IF(ISNUMBER(N66),AND(N66=INT(N66),N66&gt;=1,N66&lt;=3),FALSE)+IF(ISNUMBER(O66),AND(O66=INT(O66),O66&gt;=1,O66&lt;=3),FALSE))</f>
        <v/>
      </c>
      <c r="Q66" s="38">
        <f>IF(P66=5,SUM(K66:O66),"")</f>
        <v/>
      </c>
      <c r="R66" s="38">
        <f>IF(P66="","",IF(P66&lt;5,"Pendente",IF(NOT(cad_limites_ok),"Pendente",IF(K66=3,"A",IF(Q66&gt;=cad_limite_a,"A",IF(Q66&gt;=cad_limite_b,"B","C"))))))</f>
        <v/>
      </c>
      <c r="S66" s="40">
        <f>IF(P66="","",IF(A66="","Pendente: falta o ID do ativo",IF(COUNTIF(at_id,A66)&gt;1,"ERRO: ID do ativo duplicado",IF(COUNTA(K66:O66)&gt;P66,"Pendente: nota inválida (use inteiro de 1 a 3)",IF(P66&lt;5,"Pendente: falta(m) "&amp;(5-P66)&amp;" nota(s)",IF(NOT(cad_limites_ok),"Pendente: corrija os limites A/B em Critérios",IF(K66=3,"A por Segurança = 3","Classe pela soma e limites")))))))</f>
        <v/>
      </c>
    </row>
    <row r="67">
      <c r="A67" s="36" t="n"/>
      <c r="B67" s="36" t="n"/>
      <c r="C67" s="37" t="n"/>
      <c r="D67" s="36" t="n"/>
      <c r="E67" s="38">
        <f>IF(D67="","",IFERROR(INDEX(lst_tipo_nome,MATCH(D67,lst_tipo_id,0)),"Tipo não cadastrado em Listas"))</f>
        <v/>
      </c>
      <c r="F67" s="36" t="n"/>
      <c r="G67" s="36" t="n"/>
      <c r="H67" s="36" t="n"/>
      <c r="I67" s="39" t="n"/>
      <c r="J67" s="38">
        <f>IF(OR(B67="",D67="",H67="",I67=""),"",IF(B67=H67&amp;"-"&amp;IFERROR(INDEX(lst_tipo_sigla,MATCH(D67,lst_tipo_id,0)),"???")&amp;"-"&amp;RIGHT("00"&amp;I67,3),"OK","Verificar: TAG difere de setor-sigla-número"))</f>
        <v/>
      </c>
      <c r="K67" s="39" t="n"/>
      <c r="L67" s="39" t="n"/>
      <c r="M67" s="39" t="n"/>
      <c r="N67" s="39" t="n"/>
      <c r="O67" s="39" t="n"/>
      <c r="P67" s="38">
        <f>IF(COUNTA(A67:D67)+COUNTA(F67:I67)+COUNTA(K67:O67)=0,"",IF(ISNUMBER(K67),AND(K67=INT(K67),K67&gt;=1,K67&lt;=3),FALSE)+IF(ISNUMBER(L67),AND(L67=INT(L67),L67&gt;=1,L67&lt;=3),FALSE)+IF(ISNUMBER(M67),AND(M67=INT(M67),M67&gt;=1,M67&lt;=3),FALSE)+IF(ISNUMBER(N67),AND(N67=INT(N67),N67&gt;=1,N67&lt;=3),FALSE)+IF(ISNUMBER(O67),AND(O67=INT(O67),O67&gt;=1,O67&lt;=3),FALSE))</f>
        <v/>
      </c>
      <c r="Q67" s="38">
        <f>IF(P67=5,SUM(K67:O67),"")</f>
        <v/>
      </c>
      <c r="R67" s="38">
        <f>IF(P67="","",IF(P67&lt;5,"Pendente",IF(NOT(cad_limites_ok),"Pendente",IF(K67=3,"A",IF(Q67&gt;=cad_limite_a,"A",IF(Q67&gt;=cad_limite_b,"B","C"))))))</f>
        <v/>
      </c>
      <c r="S67" s="40">
        <f>IF(P67="","",IF(A67="","Pendente: falta o ID do ativo",IF(COUNTIF(at_id,A67)&gt;1,"ERRO: ID do ativo duplicado",IF(COUNTA(K67:O67)&gt;P67,"Pendente: nota inválida (use inteiro de 1 a 3)",IF(P67&lt;5,"Pendente: falta(m) "&amp;(5-P67)&amp;" nota(s)",IF(NOT(cad_limites_ok),"Pendente: corrija os limites A/B em Critérios",IF(K67=3,"A por Segurança = 3","Classe pela soma e limites")))))))</f>
        <v/>
      </c>
    </row>
    <row r="68">
      <c r="A68" s="36" t="n"/>
      <c r="B68" s="36" t="n"/>
      <c r="C68" s="37" t="n"/>
      <c r="D68" s="36" t="n"/>
      <c r="E68" s="38">
        <f>IF(D68="","",IFERROR(INDEX(lst_tipo_nome,MATCH(D68,lst_tipo_id,0)),"Tipo não cadastrado em Listas"))</f>
        <v/>
      </c>
      <c r="F68" s="36" t="n"/>
      <c r="G68" s="36" t="n"/>
      <c r="H68" s="36" t="n"/>
      <c r="I68" s="39" t="n"/>
      <c r="J68" s="38">
        <f>IF(OR(B68="",D68="",H68="",I68=""),"",IF(B68=H68&amp;"-"&amp;IFERROR(INDEX(lst_tipo_sigla,MATCH(D68,lst_tipo_id,0)),"???")&amp;"-"&amp;RIGHT("00"&amp;I68,3),"OK","Verificar: TAG difere de setor-sigla-número"))</f>
        <v/>
      </c>
      <c r="K68" s="39" t="n"/>
      <c r="L68" s="39" t="n"/>
      <c r="M68" s="39" t="n"/>
      <c r="N68" s="39" t="n"/>
      <c r="O68" s="39" t="n"/>
      <c r="P68" s="38">
        <f>IF(COUNTA(A68:D68)+COUNTA(F68:I68)+COUNTA(K68:O68)=0,"",IF(ISNUMBER(K68),AND(K68=INT(K68),K68&gt;=1,K68&lt;=3),FALSE)+IF(ISNUMBER(L68),AND(L68=INT(L68),L68&gt;=1,L68&lt;=3),FALSE)+IF(ISNUMBER(M68),AND(M68=INT(M68),M68&gt;=1,M68&lt;=3),FALSE)+IF(ISNUMBER(N68),AND(N68=INT(N68),N68&gt;=1,N68&lt;=3),FALSE)+IF(ISNUMBER(O68),AND(O68=INT(O68),O68&gt;=1,O68&lt;=3),FALSE))</f>
        <v/>
      </c>
      <c r="Q68" s="38">
        <f>IF(P68=5,SUM(K68:O68),"")</f>
        <v/>
      </c>
      <c r="R68" s="38">
        <f>IF(P68="","",IF(P68&lt;5,"Pendente",IF(NOT(cad_limites_ok),"Pendente",IF(K68=3,"A",IF(Q68&gt;=cad_limite_a,"A",IF(Q68&gt;=cad_limite_b,"B","C"))))))</f>
        <v/>
      </c>
      <c r="S68" s="40">
        <f>IF(P68="","",IF(A68="","Pendente: falta o ID do ativo",IF(COUNTIF(at_id,A68)&gt;1,"ERRO: ID do ativo duplicado",IF(COUNTA(K68:O68)&gt;P68,"Pendente: nota inválida (use inteiro de 1 a 3)",IF(P68&lt;5,"Pendente: falta(m) "&amp;(5-P68)&amp;" nota(s)",IF(NOT(cad_limites_ok),"Pendente: corrija os limites A/B em Critérios",IF(K68=3,"A por Segurança = 3","Classe pela soma e limites")))))))</f>
        <v/>
      </c>
    </row>
    <row r="69">
      <c r="A69" s="36" t="n"/>
      <c r="B69" s="36" t="n"/>
      <c r="C69" s="37" t="n"/>
      <c r="D69" s="36" t="n"/>
      <c r="E69" s="38">
        <f>IF(D69="","",IFERROR(INDEX(lst_tipo_nome,MATCH(D69,lst_tipo_id,0)),"Tipo não cadastrado em Listas"))</f>
        <v/>
      </c>
      <c r="F69" s="36" t="n"/>
      <c r="G69" s="36" t="n"/>
      <c r="H69" s="36" t="n"/>
      <c r="I69" s="39" t="n"/>
      <c r="J69" s="38">
        <f>IF(OR(B69="",D69="",H69="",I69=""),"",IF(B69=H69&amp;"-"&amp;IFERROR(INDEX(lst_tipo_sigla,MATCH(D69,lst_tipo_id,0)),"???")&amp;"-"&amp;RIGHT("00"&amp;I69,3),"OK","Verificar: TAG difere de setor-sigla-número"))</f>
        <v/>
      </c>
      <c r="K69" s="39" t="n"/>
      <c r="L69" s="39" t="n"/>
      <c r="M69" s="39" t="n"/>
      <c r="N69" s="39" t="n"/>
      <c r="O69" s="39" t="n"/>
      <c r="P69" s="38">
        <f>IF(COUNTA(A69:D69)+COUNTA(F69:I69)+COUNTA(K69:O69)=0,"",IF(ISNUMBER(K69),AND(K69=INT(K69),K69&gt;=1,K69&lt;=3),FALSE)+IF(ISNUMBER(L69),AND(L69=INT(L69),L69&gt;=1,L69&lt;=3),FALSE)+IF(ISNUMBER(M69),AND(M69=INT(M69),M69&gt;=1,M69&lt;=3),FALSE)+IF(ISNUMBER(N69),AND(N69=INT(N69),N69&gt;=1,N69&lt;=3),FALSE)+IF(ISNUMBER(O69),AND(O69=INT(O69),O69&gt;=1,O69&lt;=3),FALSE))</f>
        <v/>
      </c>
      <c r="Q69" s="38">
        <f>IF(P69=5,SUM(K69:O69),"")</f>
        <v/>
      </c>
      <c r="R69" s="38">
        <f>IF(P69="","",IF(P69&lt;5,"Pendente",IF(NOT(cad_limites_ok),"Pendente",IF(K69=3,"A",IF(Q69&gt;=cad_limite_a,"A",IF(Q69&gt;=cad_limite_b,"B","C"))))))</f>
        <v/>
      </c>
      <c r="S69" s="40">
        <f>IF(P69="","",IF(A69="","Pendente: falta o ID do ativo",IF(COUNTIF(at_id,A69)&gt;1,"ERRO: ID do ativo duplicado",IF(COUNTA(K69:O69)&gt;P69,"Pendente: nota inválida (use inteiro de 1 a 3)",IF(P69&lt;5,"Pendente: falta(m) "&amp;(5-P69)&amp;" nota(s)",IF(NOT(cad_limites_ok),"Pendente: corrija os limites A/B em Critérios",IF(K69=3,"A por Segurança = 3","Classe pela soma e limites")))))))</f>
        <v/>
      </c>
    </row>
    <row r="70">
      <c r="A70" s="36" t="n"/>
      <c r="B70" s="36" t="n"/>
      <c r="C70" s="37" t="n"/>
      <c r="D70" s="36" t="n"/>
      <c r="E70" s="38">
        <f>IF(D70="","",IFERROR(INDEX(lst_tipo_nome,MATCH(D70,lst_tipo_id,0)),"Tipo não cadastrado em Listas"))</f>
        <v/>
      </c>
      <c r="F70" s="36" t="n"/>
      <c r="G70" s="36" t="n"/>
      <c r="H70" s="36" t="n"/>
      <c r="I70" s="39" t="n"/>
      <c r="J70" s="38">
        <f>IF(OR(B70="",D70="",H70="",I70=""),"",IF(B70=H70&amp;"-"&amp;IFERROR(INDEX(lst_tipo_sigla,MATCH(D70,lst_tipo_id,0)),"???")&amp;"-"&amp;RIGHT("00"&amp;I70,3),"OK","Verificar: TAG difere de setor-sigla-número"))</f>
        <v/>
      </c>
      <c r="K70" s="39" t="n"/>
      <c r="L70" s="39" t="n"/>
      <c r="M70" s="39" t="n"/>
      <c r="N70" s="39" t="n"/>
      <c r="O70" s="39" t="n"/>
      <c r="P70" s="38">
        <f>IF(COUNTA(A70:D70)+COUNTA(F70:I70)+COUNTA(K70:O70)=0,"",IF(ISNUMBER(K70),AND(K70=INT(K70),K70&gt;=1,K70&lt;=3),FALSE)+IF(ISNUMBER(L70),AND(L70=INT(L70),L70&gt;=1,L70&lt;=3),FALSE)+IF(ISNUMBER(M70),AND(M70=INT(M70),M70&gt;=1,M70&lt;=3),FALSE)+IF(ISNUMBER(N70),AND(N70=INT(N70),N70&gt;=1,N70&lt;=3),FALSE)+IF(ISNUMBER(O70),AND(O70=INT(O70),O70&gt;=1,O70&lt;=3),FALSE))</f>
        <v/>
      </c>
      <c r="Q70" s="38">
        <f>IF(P70=5,SUM(K70:O70),"")</f>
        <v/>
      </c>
      <c r="R70" s="38">
        <f>IF(P70="","",IF(P70&lt;5,"Pendente",IF(NOT(cad_limites_ok),"Pendente",IF(K70=3,"A",IF(Q70&gt;=cad_limite_a,"A",IF(Q70&gt;=cad_limite_b,"B","C"))))))</f>
        <v/>
      </c>
      <c r="S70" s="40">
        <f>IF(P70="","",IF(A70="","Pendente: falta o ID do ativo",IF(COUNTIF(at_id,A70)&gt;1,"ERRO: ID do ativo duplicado",IF(COUNTA(K70:O70)&gt;P70,"Pendente: nota inválida (use inteiro de 1 a 3)",IF(P70&lt;5,"Pendente: falta(m) "&amp;(5-P70)&amp;" nota(s)",IF(NOT(cad_limites_ok),"Pendente: corrija os limites A/B em Critérios",IF(K70=3,"A por Segurança = 3","Classe pela soma e limites")))))))</f>
        <v/>
      </c>
    </row>
    <row r="71">
      <c r="A71" s="36" t="n"/>
      <c r="B71" s="36" t="n"/>
      <c r="C71" s="37" t="n"/>
      <c r="D71" s="36" t="n"/>
      <c r="E71" s="38">
        <f>IF(D71="","",IFERROR(INDEX(lst_tipo_nome,MATCH(D71,lst_tipo_id,0)),"Tipo não cadastrado em Listas"))</f>
        <v/>
      </c>
      <c r="F71" s="36" t="n"/>
      <c r="G71" s="36" t="n"/>
      <c r="H71" s="36" t="n"/>
      <c r="I71" s="39" t="n"/>
      <c r="J71" s="38">
        <f>IF(OR(B71="",D71="",H71="",I71=""),"",IF(B71=H71&amp;"-"&amp;IFERROR(INDEX(lst_tipo_sigla,MATCH(D71,lst_tipo_id,0)),"???")&amp;"-"&amp;RIGHT("00"&amp;I71,3),"OK","Verificar: TAG difere de setor-sigla-número"))</f>
        <v/>
      </c>
      <c r="K71" s="39" t="n"/>
      <c r="L71" s="39" t="n"/>
      <c r="M71" s="39" t="n"/>
      <c r="N71" s="39" t="n"/>
      <c r="O71" s="39" t="n"/>
      <c r="P71" s="38">
        <f>IF(COUNTA(A71:D71)+COUNTA(F71:I71)+COUNTA(K71:O71)=0,"",IF(ISNUMBER(K71),AND(K71=INT(K71),K71&gt;=1,K71&lt;=3),FALSE)+IF(ISNUMBER(L71),AND(L71=INT(L71),L71&gt;=1,L71&lt;=3),FALSE)+IF(ISNUMBER(M71),AND(M71=INT(M71),M71&gt;=1,M71&lt;=3),FALSE)+IF(ISNUMBER(N71),AND(N71=INT(N71),N71&gt;=1,N71&lt;=3),FALSE)+IF(ISNUMBER(O71),AND(O71=INT(O71),O71&gt;=1,O71&lt;=3),FALSE))</f>
        <v/>
      </c>
      <c r="Q71" s="38">
        <f>IF(P71=5,SUM(K71:O71),"")</f>
        <v/>
      </c>
      <c r="R71" s="38">
        <f>IF(P71="","",IF(P71&lt;5,"Pendente",IF(NOT(cad_limites_ok),"Pendente",IF(K71=3,"A",IF(Q71&gt;=cad_limite_a,"A",IF(Q71&gt;=cad_limite_b,"B","C"))))))</f>
        <v/>
      </c>
      <c r="S71" s="40">
        <f>IF(P71="","",IF(A71="","Pendente: falta o ID do ativo",IF(COUNTIF(at_id,A71)&gt;1,"ERRO: ID do ativo duplicado",IF(COUNTA(K71:O71)&gt;P71,"Pendente: nota inválida (use inteiro de 1 a 3)",IF(P71&lt;5,"Pendente: falta(m) "&amp;(5-P71)&amp;" nota(s)",IF(NOT(cad_limites_ok),"Pendente: corrija os limites A/B em Critérios",IF(K71=3,"A por Segurança = 3","Classe pela soma e limites")))))))</f>
        <v/>
      </c>
    </row>
    <row r="72">
      <c r="A72" s="36" t="n"/>
      <c r="B72" s="36" t="n"/>
      <c r="C72" s="37" t="n"/>
      <c r="D72" s="36" t="n"/>
      <c r="E72" s="38">
        <f>IF(D72="","",IFERROR(INDEX(lst_tipo_nome,MATCH(D72,lst_tipo_id,0)),"Tipo não cadastrado em Listas"))</f>
        <v/>
      </c>
      <c r="F72" s="36" t="n"/>
      <c r="G72" s="36" t="n"/>
      <c r="H72" s="36" t="n"/>
      <c r="I72" s="39" t="n"/>
      <c r="J72" s="38">
        <f>IF(OR(B72="",D72="",H72="",I72=""),"",IF(B72=H72&amp;"-"&amp;IFERROR(INDEX(lst_tipo_sigla,MATCH(D72,lst_tipo_id,0)),"???")&amp;"-"&amp;RIGHT("00"&amp;I72,3),"OK","Verificar: TAG difere de setor-sigla-número"))</f>
        <v/>
      </c>
      <c r="K72" s="39" t="n"/>
      <c r="L72" s="39" t="n"/>
      <c r="M72" s="39" t="n"/>
      <c r="N72" s="39" t="n"/>
      <c r="O72" s="39" t="n"/>
      <c r="P72" s="38">
        <f>IF(COUNTA(A72:D72)+COUNTA(F72:I72)+COUNTA(K72:O72)=0,"",IF(ISNUMBER(K72),AND(K72=INT(K72),K72&gt;=1,K72&lt;=3),FALSE)+IF(ISNUMBER(L72),AND(L72=INT(L72),L72&gt;=1,L72&lt;=3),FALSE)+IF(ISNUMBER(M72),AND(M72=INT(M72),M72&gt;=1,M72&lt;=3),FALSE)+IF(ISNUMBER(N72),AND(N72=INT(N72),N72&gt;=1,N72&lt;=3),FALSE)+IF(ISNUMBER(O72),AND(O72=INT(O72),O72&gt;=1,O72&lt;=3),FALSE))</f>
        <v/>
      </c>
      <c r="Q72" s="38">
        <f>IF(P72=5,SUM(K72:O72),"")</f>
        <v/>
      </c>
      <c r="R72" s="38">
        <f>IF(P72="","",IF(P72&lt;5,"Pendente",IF(NOT(cad_limites_ok),"Pendente",IF(K72=3,"A",IF(Q72&gt;=cad_limite_a,"A",IF(Q72&gt;=cad_limite_b,"B","C"))))))</f>
        <v/>
      </c>
      <c r="S72" s="40">
        <f>IF(P72="","",IF(A72="","Pendente: falta o ID do ativo",IF(COUNTIF(at_id,A72)&gt;1,"ERRO: ID do ativo duplicado",IF(COUNTA(K72:O72)&gt;P72,"Pendente: nota inválida (use inteiro de 1 a 3)",IF(P72&lt;5,"Pendente: falta(m) "&amp;(5-P72)&amp;" nota(s)",IF(NOT(cad_limites_ok),"Pendente: corrija os limites A/B em Critérios",IF(K72=3,"A por Segurança = 3","Classe pela soma e limites")))))))</f>
        <v/>
      </c>
    </row>
    <row r="73">
      <c r="A73" s="36" t="n"/>
      <c r="B73" s="36" t="n"/>
      <c r="C73" s="37" t="n"/>
      <c r="D73" s="36" t="n"/>
      <c r="E73" s="38">
        <f>IF(D73="","",IFERROR(INDEX(lst_tipo_nome,MATCH(D73,lst_tipo_id,0)),"Tipo não cadastrado em Listas"))</f>
        <v/>
      </c>
      <c r="F73" s="36" t="n"/>
      <c r="G73" s="36" t="n"/>
      <c r="H73" s="36" t="n"/>
      <c r="I73" s="39" t="n"/>
      <c r="J73" s="38">
        <f>IF(OR(B73="",D73="",H73="",I73=""),"",IF(B73=H73&amp;"-"&amp;IFERROR(INDEX(lst_tipo_sigla,MATCH(D73,lst_tipo_id,0)),"???")&amp;"-"&amp;RIGHT("00"&amp;I73,3),"OK","Verificar: TAG difere de setor-sigla-número"))</f>
        <v/>
      </c>
      <c r="K73" s="39" t="n"/>
      <c r="L73" s="39" t="n"/>
      <c r="M73" s="39" t="n"/>
      <c r="N73" s="39" t="n"/>
      <c r="O73" s="39" t="n"/>
      <c r="P73" s="38">
        <f>IF(COUNTA(A73:D73)+COUNTA(F73:I73)+COUNTA(K73:O73)=0,"",IF(ISNUMBER(K73),AND(K73=INT(K73),K73&gt;=1,K73&lt;=3),FALSE)+IF(ISNUMBER(L73),AND(L73=INT(L73),L73&gt;=1,L73&lt;=3),FALSE)+IF(ISNUMBER(M73),AND(M73=INT(M73),M73&gt;=1,M73&lt;=3),FALSE)+IF(ISNUMBER(N73),AND(N73=INT(N73),N73&gt;=1,N73&lt;=3),FALSE)+IF(ISNUMBER(O73),AND(O73=INT(O73),O73&gt;=1,O73&lt;=3),FALSE))</f>
        <v/>
      </c>
      <c r="Q73" s="38">
        <f>IF(P73=5,SUM(K73:O73),"")</f>
        <v/>
      </c>
      <c r="R73" s="38">
        <f>IF(P73="","",IF(P73&lt;5,"Pendente",IF(NOT(cad_limites_ok),"Pendente",IF(K73=3,"A",IF(Q73&gt;=cad_limite_a,"A",IF(Q73&gt;=cad_limite_b,"B","C"))))))</f>
        <v/>
      </c>
      <c r="S73" s="40">
        <f>IF(P73="","",IF(A73="","Pendente: falta o ID do ativo",IF(COUNTIF(at_id,A73)&gt;1,"ERRO: ID do ativo duplicado",IF(COUNTA(K73:O73)&gt;P73,"Pendente: nota inválida (use inteiro de 1 a 3)",IF(P73&lt;5,"Pendente: falta(m) "&amp;(5-P73)&amp;" nota(s)",IF(NOT(cad_limites_ok),"Pendente: corrija os limites A/B em Critérios",IF(K73=3,"A por Segurança = 3","Classe pela soma e limites")))))))</f>
        <v/>
      </c>
    </row>
    <row r="74">
      <c r="A74" s="36" t="n"/>
      <c r="B74" s="36" t="n"/>
      <c r="C74" s="37" t="n"/>
      <c r="D74" s="36" t="n"/>
      <c r="E74" s="38">
        <f>IF(D74="","",IFERROR(INDEX(lst_tipo_nome,MATCH(D74,lst_tipo_id,0)),"Tipo não cadastrado em Listas"))</f>
        <v/>
      </c>
      <c r="F74" s="36" t="n"/>
      <c r="G74" s="36" t="n"/>
      <c r="H74" s="36" t="n"/>
      <c r="I74" s="39" t="n"/>
      <c r="J74" s="38">
        <f>IF(OR(B74="",D74="",H74="",I74=""),"",IF(B74=H74&amp;"-"&amp;IFERROR(INDEX(lst_tipo_sigla,MATCH(D74,lst_tipo_id,0)),"???")&amp;"-"&amp;RIGHT("00"&amp;I74,3),"OK","Verificar: TAG difere de setor-sigla-número"))</f>
        <v/>
      </c>
      <c r="K74" s="39" t="n"/>
      <c r="L74" s="39" t="n"/>
      <c r="M74" s="39" t="n"/>
      <c r="N74" s="39" t="n"/>
      <c r="O74" s="39" t="n"/>
      <c r="P74" s="38">
        <f>IF(COUNTA(A74:D74)+COUNTA(F74:I74)+COUNTA(K74:O74)=0,"",IF(ISNUMBER(K74),AND(K74=INT(K74),K74&gt;=1,K74&lt;=3),FALSE)+IF(ISNUMBER(L74),AND(L74=INT(L74),L74&gt;=1,L74&lt;=3),FALSE)+IF(ISNUMBER(M74),AND(M74=INT(M74),M74&gt;=1,M74&lt;=3),FALSE)+IF(ISNUMBER(N74),AND(N74=INT(N74),N74&gt;=1,N74&lt;=3),FALSE)+IF(ISNUMBER(O74),AND(O74=INT(O74),O74&gt;=1,O74&lt;=3),FALSE))</f>
        <v/>
      </c>
      <c r="Q74" s="38">
        <f>IF(P74=5,SUM(K74:O74),"")</f>
        <v/>
      </c>
      <c r="R74" s="38">
        <f>IF(P74="","",IF(P74&lt;5,"Pendente",IF(NOT(cad_limites_ok),"Pendente",IF(K74=3,"A",IF(Q74&gt;=cad_limite_a,"A",IF(Q74&gt;=cad_limite_b,"B","C"))))))</f>
        <v/>
      </c>
      <c r="S74" s="40">
        <f>IF(P74="","",IF(A74="","Pendente: falta o ID do ativo",IF(COUNTIF(at_id,A74)&gt;1,"ERRO: ID do ativo duplicado",IF(COUNTA(K74:O74)&gt;P74,"Pendente: nota inválida (use inteiro de 1 a 3)",IF(P74&lt;5,"Pendente: falta(m) "&amp;(5-P74)&amp;" nota(s)",IF(NOT(cad_limites_ok),"Pendente: corrija os limites A/B em Critérios",IF(K74=3,"A por Segurança = 3","Classe pela soma e limites")))))))</f>
        <v/>
      </c>
    </row>
    <row r="75">
      <c r="A75" s="36" t="n"/>
      <c r="B75" s="36" t="n"/>
      <c r="C75" s="37" t="n"/>
      <c r="D75" s="36" t="n"/>
      <c r="E75" s="38">
        <f>IF(D75="","",IFERROR(INDEX(lst_tipo_nome,MATCH(D75,lst_tipo_id,0)),"Tipo não cadastrado em Listas"))</f>
        <v/>
      </c>
      <c r="F75" s="36" t="n"/>
      <c r="G75" s="36" t="n"/>
      <c r="H75" s="36" t="n"/>
      <c r="I75" s="39" t="n"/>
      <c r="J75" s="38">
        <f>IF(OR(B75="",D75="",H75="",I75=""),"",IF(B75=H75&amp;"-"&amp;IFERROR(INDEX(lst_tipo_sigla,MATCH(D75,lst_tipo_id,0)),"???")&amp;"-"&amp;RIGHT("00"&amp;I75,3),"OK","Verificar: TAG difere de setor-sigla-número"))</f>
        <v/>
      </c>
      <c r="K75" s="39" t="n"/>
      <c r="L75" s="39" t="n"/>
      <c r="M75" s="39" t="n"/>
      <c r="N75" s="39" t="n"/>
      <c r="O75" s="39" t="n"/>
      <c r="P75" s="38">
        <f>IF(COUNTA(A75:D75)+COUNTA(F75:I75)+COUNTA(K75:O75)=0,"",IF(ISNUMBER(K75),AND(K75=INT(K75),K75&gt;=1,K75&lt;=3),FALSE)+IF(ISNUMBER(L75),AND(L75=INT(L75),L75&gt;=1,L75&lt;=3),FALSE)+IF(ISNUMBER(M75),AND(M75=INT(M75),M75&gt;=1,M75&lt;=3),FALSE)+IF(ISNUMBER(N75),AND(N75=INT(N75),N75&gt;=1,N75&lt;=3),FALSE)+IF(ISNUMBER(O75),AND(O75=INT(O75),O75&gt;=1,O75&lt;=3),FALSE))</f>
        <v/>
      </c>
      <c r="Q75" s="38">
        <f>IF(P75=5,SUM(K75:O75),"")</f>
        <v/>
      </c>
      <c r="R75" s="38">
        <f>IF(P75="","",IF(P75&lt;5,"Pendente",IF(NOT(cad_limites_ok),"Pendente",IF(K75=3,"A",IF(Q75&gt;=cad_limite_a,"A",IF(Q75&gt;=cad_limite_b,"B","C"))))))</f>
        <v/>
      </c>
      <c r="S75" s="40">
        <f>IF(P75="","",IF(A75="","Pendente: falta o ID do ativo",IF(COUNTIF(at_id,A75)&gt;1,"ERRO: ID do ativo duplicado",IF(COUNTA(K75:O75)&gt;P75,"Pendente: nota inválida (use inteiro de 1 a 3)",IF(P75&lt;5,"Pendente: falta(m) "&amp;(5-P75)&amp;" nota(s)",IF(NOT(cad_limites_ok),"Pendente: corrija os limites A/B em Critérios",IF(K75=3,"A por Segurança = 3","Classe pela soma e limites")))))))</f>
        <v/>
      </c>
    </row>
    <row r="76">
      <c r="A76" s="36" t="n"/>
      <c r="B76" s="36" t="n"/>
      <c r="C76" s="37" t="n"/>
      <c r="D76" s="36" t="n"/>
      <c r="E76" s="38">
        <f>IF(D76="","",IFERROR(INDEX(lst_tipo_nome,MATCH(D76,lst_tipo_id,0)),"Tipo não cadastrado em Listas"))</f>
        <v/>
      </c>
      <c r="F76" s="36" t="n"/>
      <c r="G76" s="36" t="n"/>
      <c r="H76" s="36" t="n"/>
      <c r="I76" s="39" t="n"/>
      <c r="J76" s="38">
        <f>IF(OR(B76="",D76="",H76="",I76=""),"",IF(B76=H76&amp;"-"&amp;IFERROR(INDEX(lst_tipo_sigla,MATCH(D76,lst_tipo_id,0)),"???")&amp;"-"&amp;RIGHT("00"&amp;I76,3),"OK","Verificar: TAG difere de setor-sigla-número"))</f>
        <v/>
      </c>
      <c r="K76" s="39" t="n"/>
      <c r="L76" s="39" t="n"/>
      <c r="M76" s="39" t="n"/>
      <c r="N76" s="39" t="n"/>
      <c r="O76" s="39" t="n"/>
      <c r="P76" s="38">
        <f>IF(COUNTA(A76:D76)+COUNTA(F76:I76)+COUNTA(K76:O76)=0,"",IF(ISNUMBER(K76),AND(K76=INT(K76),K76&gt;=1,K76&lt;=3),FALSE)+IF(ISNUMBER(L76),AND(L76=INT(L76),L76&gt;=1,L76&lt;=3),FALSE)+IF(ISNUMBER(M76),AND(M76=INT(M76),M76&gt;=1,M76&lt;=3),FALSE)+IF(ISNUMBER(N76),AND(N76=INT(N76),N76&gt;=1,N76&lt;=3),FALSE)+IF(ISNUMBER(O76),AND(O76=INT(O76),O76&gt;=1,O76&lt;=3),FALSE))</f>
        <v/>
      </c>
      <c r="Q76" s="38">
        <f>IF(P76=5,SUM(K76:O76),"")</f>
        <v/>
      </c>
      <c r="R76" s="38">
        <f>IF(P76="","",IF(P76&lt;5,"Pendente",IF(NOT(cad_limites_ok),"Pendente",IF(K76=3,"A",IF(Q76&gt;=cad_limite_a,"A",IF(Q76&gt;=cad_limite_b,"B","C"))))))</f>
        <v/>
      </c>
      <c r="S76" s="40">
        <f>IF(P76="","",IF(A76="","Pendente: falta o ID do ativo",IF(COUNTIF(at_id,A76)&gt;1,"ERRO: ID do ativo duplicado",IF(COUNTA(K76:O76)&gt;P76,"Pendente: nota inválida (use inteiro de 1 a 3)",IF(P76&lt;5,"Pendente: falta(m) "&amp;(5-P76)&amp;" nota(s)",IF(NOT(cad_limites_ok),"Pendente: corrija os limites A/B em Critérios",IF(K76=3,"A por Segurança = 3","Classe pela soma e limites")))))))</f>
        <v/>
      </c>
    </row>
    <row r="77">
      <c r="A77" s="36" t="n"/>
      <c r="B77" s="36" t="n"/>
      <c r="C77" s="37" t="n"/>
      <c r="D77" s="36" t="n"/>
      <c r="E77" s="38">
        <f>IF(D77="","",IFERROR(INDEX(lst_tipo_nome,MATCH(D77,lst_tipo_id,0)),"Tipo não cadastrado em Listas"))</f>
        <v/>
      </c>
      <c r="F77" s="36" t="n"/>
      <c r="G77" s="36" t="n"/>
      <c r="H77" s="36" t="n"/>
      <c r="I77" s="39" t="n"/>
      <c r="J77" s="38">
        <f>IF(OR(B77="",D77="",H77="",I77=""),"",IF(B77=H77&amp;"-"&amp;IFERROR(INDEX(lst_tipo_sigla,MATCH(D77,lst_tipo_id,0)),"???")&amp;"-"&amp;RIGHT("00"&amp;I77,3),"OK","Verificar: TAG difere de setor-sigla-número"))</f>
        <v/>
      </c>
      <c r="K77" s="39" t="n"/>
      <c r="L77" s="39" t="n"/>
      <c r="M77" s="39" t="n"/>
      <c r="N77" s="39" t="n"/>
      <c r="O77" s="39" t="n"/>
      <c r="P77" s="38">
        <f>IF(COUNTA(A77:D77)+COUNTA(F77:I77)+COUNTA(K77:O77)=0,"",IF(ISNUMBER(K77),AND(K77=INT(K77),K77&gt;=1,K77&lt;=3),FALSE)+IF(ISNUMBER(L77),AND(L77=INT(L77),L77&gt;=1,L77&lt;=3),FALSE)+IF(ISNUMBER(M77),AND(M77=INT(M77),M77&gt;=1,M77&lt;=3),FALSE)+IF(ISNUMBER(N77),AND(N77=INT(N77),N77&gt;=1,N77&lt;=3),FALSE)+IF(ISNUMBER(O77),AND(O77=INT(O77),O77&gt;=1,O77&lt;=3),FALSE))</f>
        <v/>
      </c>
      <c r="Q77" s="38">
        <f>IF(P77=5,SUM(K77:O77),"")</f>
        <v/>
      </c>
      <c r="R77" s="38">
        <f>IF(P77="","",IF(P77&lt;5,"Pendente",IF(NOT(cad_limites_ok),"Pendente",IF(K77=3,"A",IF(Q77&gt;=cad_limite_a,"A",IF(Q77&gt;=cad_limite_b,"B","C"))))))</f>
        <v/>
      </c>
      <c r="S77" s="40">
        <f>IF(P77="","",IF(A77="","Pendente: falta o ID do ativo",IF(COUNTIF(at_id,A77)&gt;1,"ERRO: ID do ativo duplicado",IF(COUNTA(K77:O77)&gt;P77,"Pendente: nota inválida (use inteiro de 1 a 3)",IF(P77&lt;5,"Pendente: falta(m) "&amp;(5-P77)&amp;" nota(s)",IF(NOT(cad_limites_ok),"Pendente: corrija os limites A/B em Critérios",IF(K77=3,"A por Segurança = 3","Classe pela soma e limites")))))))</f>
        <v/>
      </c>
    </row>
    <row r="78">
      <c r="A78" s="36" t="n"/>
      <c r="B78" s="36" t="n"/>
      <c r="C78" s="37" t="n"/>
      <c r="D78" s="36" t="n"/>
      <c r="E78" s="38">
        <f>IF(D78="","",IFERROR(INDEX(lst_tipo_nome,MATCH(D78,lst_tipo_id,0)),"Tipo não cadastrado em Listas"))</f>
        <v/>
      </c>
      <c r="F78" s="36" t="n"/>
      <c r="G78" s="36" t="n"/>
      <c r="H78" s="36" t="n"/>
      <c r="I78" s="39" t="n"/>
      <c r="J78" s="38">
        <f>IF(OR(B78="",D78="",H78="",I78=""),"",IF(B78=H78&amp;"-"&amp;IFERROR(INDEX(lst_tipo_sigla,MATCH(D78,lst_tipo_id,0)),"???")&amp;"-"&amp;RIGHT("00"&amp;I78,3),"OK","Verificar: TAG difere de setor-sigla-número"))</f>
        <v/>
      </c>
      <c r="K78" s="39" t="n"/>
      <c r="L78" s="39" t="n"/>
      <c r="M78" s="39" t="n"/>
      <c r="N78" s="39" t="n"/>
      <c r="O78" s="39" t="n"/>
      <c r="P78" s="38">
        <f>IF(COUNTA(A78:D78)+COUNTA(F78:I78)+COUNTA(K78:O78)=0,"",IF(ISNUMBER(K78),AND(K78=INT(K78),K78&gt;=1,K78&lt;=3),FALSE)+IF(ISNUMBER(L78),AND(L78=INT(L78),L78&gt;=1,L78&lt;=3),FALSE)+IF(ISNUMBER(M78),AND(M78=INT(M78),M78&gt;=1,M78&lt;=3),FALSE)+IF(ISNUMBER(N78),AND(N78=INT(N78),N78&gt;=1,N78&lt;=3),FALSE)+IF(ISNUMBER(O78),AND(O78=INT(O78),O78&gt;=1,O78&lt;=3),FALSE))</f>
        <v/>
      </c>
      <c r="Q78" s="38">
        <f>IF(P78=5,SUM(K78:O78),"")</f>
        <v/>
      </c>
      <c r="R78" s="38">
        <f>IF(P78="","",IF(P78&lt;5,"Pendente",IF(NOT(cad_limites_ok),"Pendente",IF(K78=3,"A",IF(Q78&gt;=cad_limite_a,"A",IF(Q78&gt;=cad_limite_b,"B","C"))))))</f>
        <v/>
      </c>
      <c r="S78" s="40">
        <f>IF(P78="","",IF(A78="","Pendente: falta o ID do ativo",IF(COUNTIF(at_id,A78)&gt;1,"ERRO: ID do ativo duplicado",IF(COUNTA(K78:O78)&gt;P78,"Pendente: nota inválida (use inteiro de 1 a 3)",IF(P78&lt;5,"Pendente: falta(m) "&amp;(5-P78)&amp;" nota(s)",IF(NOT(cad_limites_ok),"Pendente: corrija os limites A/B em Critérios",IF(K78=3,"A por Segurança = 3","Classe pela soma e limites")))))))</f>
        <v/>
      </c>
    </row>
    <row r="79">
      <c r="A79" s="36" t="n"/>
      <c r="B79" s="36" t="n"/>
      <c r="C79" s="37" t="n"/>
      <c r="D79" s="36" t="n"/>
      <c r="E79" s="38">
        <f>IF(D79="","",IFERROR(INDEX(lst_tipo_nome,MATCH(D79,lst_tipo_id,0)),"Tipo não cadastrado em Listas"))</f>
        <v/>
      </c>
      <c r="F79" s="36" t="n"/>
      <c r="G79" s="36" t="n"/>
      <c r="H79" s="36" t="n"/>
      <c r="I79" s="39" t="n"/>
      <c r="J79" s="38">
        <f>IF(OR(B79="",D79="",H79="",I79=""),"",IF(B79=H79&amp;"-"&amp;IFERROR(INDEX(lst_tipo_sigla,MATCH(D79,lst_tipo_id,0)),"???")&amp;"-"&amp;RIGHT("00"&amp;I79,3),"OK","Verificar: TAG difere de setor-sigla-número"))</f>
        <v/>
      </c>
      <c r="K79" s="39" t="n"/>
      <c r="L79" s="39" t="n"/>
      <c r="M79" s="39" t="n"/>
      <c r="N79" s="39" t="n"/>
      <c r="O79" s="39" t="n"/>
      <c r="P79" s="38">
        <f>IF(COUNTA(A79:D79)+COUNTA(F79:I79)+COUNTA(K79:O79)=0,"",IF(ISNUMBER(K79),AND(K79=INT(K79),K79&gt;=1,K79&lt;=3),FALSE)+IF(ISNUMBER(L79),AND(L79=INT(L79),L79&gt;=1,L79&lt;=3),FALSE)+IF(ISNUMBER(M79),AND(M79=INT(M79),M79&gt;=1,M79&lt;=3),FALSE)+IF(ISNUMBER(N79),AND(N79=INT(N79),N79&gt;=1,N79&lt;=3),FALSE)+IF(ISNUMBER(O79),AND(O79=INT(O79),O79&gt;=1,O79&lt;=3),FALSE))</f>
        <v/>
      </c>
      <c r="Q79" s="38">
        <f>IF(P79=5,SUM(K79:O79),"")</f>
        <v/>
      </c>
      <c r="R79" s="38">
        <f>IF(P79="","",IF(P79&lt;5,"Pendente",IF(NOT(cad_limites_ok),"Pendente",IF(K79=3,"A",IF(Q79&gt;=cad_limite_a,"A",IF(Q79&gt;=cad_limite_b,"B","C"))))))</f>
        <v/>
      </c>
      <c r="S79" s="40">
        <f>IF(P79="","",IF(A79="","Pendente: falta o ID do ativo",IF(COUNTIF(at_id,A79)&gt;1,"ERRO: ID do ativo duplicado",IF(COUNTA(K79:O79)&gt;P79,"Pendente: nota inválida (use inteiro de 1 a 3)",IF(P79&lt;5,"Pendente: falta(m) "&amp;(5-P79)&amp;" nota(s)",IF(NOT(cad_limites_ok),"Pendente: corrija os limites A/B em Critérios",IF(K79=3,"A por Segurança = 3","Classe pela soma e limites")))))))</f>
        <v/>
      </c>
    </row>
    <row r="80">
      <c r="A80" s="36" t="n"/>
      <c r="B80" s="36" t="n"/>
      <c r="C80" s="37" t="n"/>
      <c r="D80" s="36" t="n"/>
      <c r="E80" s="38">
        <f>IF(D80="","",IFERROR(INDEX(lst_tipo_nome,MATCH(D80,lst_tipo_id,0)),"Tipo não cadastrado em Listas"))</f>
        <v/>
      </c>
      <c r="F80" s="36" t="n"/>
      <c r="G80" s="36" t="n"/>
      <c r="H80" s="36" t="n"/>
      <c r="I80" s="39" t="n"/>
      <c r="J80" s="38">
        <f>IF(OR(B80="",D80="",H80="",I80=""),"",IF(B80=H80&amp;"-"&amp;IFERROR(INDEX(lst_tipo_sigla,MATCH(D80,lst_tipo_id,0)),"???")&amp;"-"&amp;RIGHT("00"&amp;I80,3),"OK","Verificar: TAG difere de setor-sigla-número"))</f>
        <v/>
      </c>
      <c r="K80" s="39" t="n"/>
      <c r="L80" s="39" t="n"/>
      <c r="M80" s="39" t="n"/>
      <c r="N80" s="39" t="n"/>
      <c r="O80" s="39" t="n"/>
      <c r="P80" s="38">
        <f>IF(COUNTA(A80:D80)+COUNTA(F80:I80)+COUNTA(K80:O80)=0,"",IF(ISNUMBER(K80),AND(K80=INT(K80),K80&gt;=1,K80&lt;=3),FALSE)+IF(ISNUMBER(L80),AND(L80=INT(L80),L80&gt;=1,L80&lt;=3),FALSE)+IF(ISNUMBER(M80),AND(M80=INT(M80),M80&gt;=1,M80&lt;=3),FALSE)+IF(ISNUMBER(N80),AND(N80=INT(N80),N80&gt;=1,N80&lt;=3),FALSE)+IF(ISNUMBER(O80),AND(O80=INT(O80),O80&gt;=1,O80&lt;=3),FALSE))</f>
        <v/>
      </c>
      <c r="Q80" s="38">
        <f>IF(P80=5,SUM(K80:O80),"")</f>
        <v/>
      </c>
      <c r="R80" s="38">
        <f>IF(P80="","",IF(P80&lt;5,"Pendente",IF(NOT(cad_limites_ok),"Pendente",IF(K80=3,"A",IF(Q80&gt;=cad_limite_a,"A",IF(Q80&gt;=cad_limite_b,"B","C"))))))</f>
        <v/>
      </c>
      <c r="S80" s="40">
        <f>IF(P80="","",IF(A80="","Pendente: falta o ID do ativo",IF(COUNTIF(at_id,A80)&gt;1,"ERRO: ID do ativo duplicado",IF(COUNTA(K80:O80)&gt;P80,"Pendente: nota inválida (use inteiro de 1 a 3)",IF(P80&lt;5,"Pendente: falta(m) "&amp;(5-P80)&amp;" nota(s)",IF(NOT(cad_limites_ok),"Pendente: corrija os limites A/B em Critérios",IF(K80=3,"A por Segurança = 3","Classe pela soma e limites")))))))</f>
        <v/>
      </c>
    </row>
    <row r="81">
      <c r="A81" s="36" t="n"/>
      <c r="B81" s="36" t="n"/>
      <c r="C81" s="37" t="n"/>
      <c r="D81" s="36" t="n"/>
      <c r="E81" s="38">
        <f>IF(D81="","",IFERROR(INDEX(lst_tipo_nome,MATCH(D81,lst_tipo_id,0)),"Tipo não cadastrado em Listas"))</f>
        <v/>
      </c>
      <c r="F81" s="36" t="n"/>
      <c r="G81" s="36" t="n"/>
      <c r="H81" s="36" t="n"/>
      <c r="I81" s="39" t="n"/>
      <c r="J81" s="38">
        <f>IF(OR(B81="",D81="",H81="",I81=""),"",IF(B81=H81&amp;"-"&amp;IFERROR(INDEX(lst_tipo_sigla,MATCH(D81,lst_tipo_id,0)),"???")&amp;"-"&amp;RIGHT("00"&amp;I81,3),"OK","Verificar: TAG difere de setor-sigla-número"))</f>
        <v/>
      </c>
      <c r="K81" s="39" t="n"/>
      <c r="L81" s="39" t="n"/>
      <c r="M81" s="39" t="n"/>
      <c r="N81" s="39" t="n"/>
      <c r="O81" s="39" t="n"/>
      <c r="P81" s="38">
        <f>IF(COUNTA(A81:D81)+COUNTA(F81:I81)+COUNTA(K81:O81)=0,"",IF(ISNUMBER(K81),AND(K81=INT(K81),K81&gt;=1,K81&lt;=3),FALSE)+IF(ISNUMBER(L81),AND(L81=INT(L81),L81&gt;=1,L81&lt;=3),FALSE)+IF(ISNUMBER(M81),AND(M81=INT(M81),M81&gt;=1,M81&lt;=3),FALSE)+IF(ISNUMBER(N81),AND(N81=INT(N81),N81&gt;=1,N81&lt;=3),FALSE)+IF(ISNUMBER(O81),AND(O81=INT(O81),O81&gt;=1,O81&lt;=3),FALSE))</f>
        <v/>
      </c>
      <c r="Q81" s="38">
        <f>IF(P81=5,SUM(K81:O81),"")</f>
        <v/>
      </c>
      <c r="R81" s="38">
        <f>IF(P81="","",IF(P81&lt;5,"Pendente",IF(NOT(cad_limites_ok),"Pendente",IF(K81=3,"A",IF(Q81&gt;=cad_limite_a,"A",IF(Q81&gt;=cad_limite_b,"B","C"))))))</f>
        <v/>
      </c>
      <c r="S81" s="40">
        <f>IF(P81="","",IF(A81="","Pendente: falta o ID do ativo",IF(COUNTIF(at_id,A81)&gt;1,"ERRO: ID do ativo duplicado",IF(COUNTA(K81:O81)&gt;P81,"Pendente: nota inválida (use inteiro de 1 a 3)",IF(P81&lt;5,"Pendente: falta(m) "&amp;(5-P81)&amp;" nota(s)",IF(NOT(cad_limites_ok),"Pendente: corrija os limites A/B em Critérios",IF(K81=3,"A por Segurança = 3","Classe pela soma e limites")))))))</f>
        <v/>
      </c>
    </row>
    <row r="82">
      <c r="A82" s="36" t="n"/>
      <c r="B82" s="36" t="n"/>
      <c r="C82" s="37" t="n"/>
      <c r="D82" s="36" t="n"/>
      <c r="E82" s="38">
        <f>IF(D82="","",IFERROR(INDEX(lst_tipo_nome,MATCH(D82,lst_tipo_id,0)),"Tipo não cadastrado em Listas"))</f>
        <v/>
      </c>
      <c r="F82" s="36" t="n"/>
      <c r="G82" s="36" t="n"/>
      <c r="H82" s="36" t="n"/>
      <c r="I82" s="39" t="n"/>
      <c r="J82" s="38">
        <f>IF(OR(B82="",D82="",H82="",I82=""),"",IF(B82=H82&amp;"-"&amp;IFERROR(INDEX(lst_tipo_sigla,MATCH(D82,lst_tipo_id,0)),"???")&amp;"-"&amp;RIGHT("00"&amp;I82,3),"OK","Verificar: TAG difere de setor-sigla-número"))</f>
        <v/>
      </c>
      <c r="K82" s="39" t="n"/>
      <c r="L82" s="39" t="n"/>
      <c r="M82" s="39" t="n"/>
      <c r="N82" s="39" t="n"/>
      <c r="O82" s="39" t="n"/>
      <c r="P82" s="38">
        <f>IF(COUNTA(A82:D82)+COUNTA(F82:I82)+COUNTA(K82:O82)=0,"",IF(ISNUMBER(K82),AND(K82=INT(K82),K82&gt;=1,K82&lt;=3),FALSE)+IF(ISNUMBER(L82),AND(L82=INT(L82),L82&gt;=1,L82&lt;=3),FALSE)+IF(ISNUMBER(M82),AND(M82=INT(M82),M82&gt;=1,M82&lt;=3),FALSE)+IF(ISNUMBER(N82),AND(N82=INT(N82),N82&gt;=1,N82&lt;=3),FALSE)+IF(ISNUMBER(O82),AND(O82=INT(O82),O82&gt;=1,O82&lt;=3),FALSE))</f>
        <v/>
      </c>
      <c r="Q82" s="38">
        <f>IF(P82=5,SUM(K82:O82),"")</f>
        <v/>
      </c>
      <c r="R82" s="38">
        <f>IF(P82="","",IF(P82&lt;5,"Pendente",IF(NOT(cad_limites_ok),"Pendente",IF(K82=3,"A",IF(Q82&gt;=cad_limite_a,"A",IF(Q82&gt;=cad_limite_b,"B","C"))))))</f>
        <v/>
      </c>
      <c r="S82" s="40">
        <f>IF(P82="","",IF(A82="","Pendente: falta o ID do ativo",IF(COUNTIF(at_id,A82)&gt;1,"ERRO: ID do ativo duplicado",IF(COUNTA(K82:O82)&gt;P82,"Pendente: nota inválida (use inteiro de 1 a 3)",IF(P82&lt;5,"Pendente: falta(m) "&amp;(5-P82)&amp;" nota(s)",IF(NOT(cad_limites_ok),"Pendente: corrija os limites A/B em Critérios",IF(K82=3,"A por Segurança = 3","Classe pela soma e limites")))))))</f>
        <v/>
      </c>
    </row>
    <row r="83">
      <c r="A83" s="36" t="n"/>
      <c r="B83" s="36" t="n"/>
      <c r="C83" s="37" t="n"/>
      <c r="D83" s="36" t="n"/>
      <c r="E83" s="38">
        <f>IF(D83="","",IFERROR(INDEX(lst_tipo_nome,MATCH(D83,lst_tipo_id,0)),"Tipo não cadastrado em Listas"))</f>
        <v/>
      </c>
      <c r="F83" s="36" t="n"/>
      <c r="G83" s="36" t="n"/>
      <c r="H83" s="36" t="n"/>
      <c r="I83" s="39" t="n"/>
      <c r="J83" s="38">
        <f>IF(OR(B83="",D83="",H83="",I83=""),"",IF(B83=H83&amp;"-"&amp;IFERROR(INDEX(lst_tipo_sigla,MATCH(D83,lst_tipo_id,0)),"???")&amp;"-"&amp;RIGHT("00"&amp;I83,3),"OK","Verificar: TAG difere de setor-sigla-número"))</f>
        <v/>
      </c>
      <c r="K83" s="39" t="n"/>
      <c r="L83" s="39" t="n"/>
      <c r="M83" s="39" t="n"/>
      <c r="N83" s="39" t="n"/>
      <c r="O83" s="39" t="n"/>
      <c r="P83" s="38">
        <f>IF(COUNTA(A83:D83)+COUNTA(F83:I83)+COUNTA(K83:O83)=0,"",IF(ISNUMBER(K83),AND(K83=INT(K83),K83&gt;=1,K83&lt;=3),FALSE)+IF(ISNUMBER(L83),AND(L83=INT(L83),L83&gt;=1,L83&lt;=3),FALSE)+IF(ISNUMBER(M83),AND(M83=INT(M83),M83&gt;=1,M83&lt;=3),FALSE)+IF(ISNUMBER(N83),AND(N83=INT(N83),N83&gt;=1,N83&lt;=3),FALSE)+IF(ISNUMBER(O83),AND(O83=INT(O83),O83&gt;=1,O83&lt;=3),FALSE))</f>
        <v/>
      </c>
      <c r="Q83" s="38">
        <f>IF(P83=5,SUM(K83:O83),"")</f>
        <v/>
      </c>
      <c r="R83" s="38">
        <f>IF(P83="","",IF(P83&lt;5,"Pendente",IF(NOT(cad_limites_ok),"Pendente",IF(K83=3,"A",IF(Q83&gt;=cad_limite_a,"A",IF(Q83&gt;=cad_limite_b,"B","C"))))))</f>
        <v/>
      </c>
      <c r="S83" s="40">
        <f>IF(P83="","",IF(A83="","Pendente: falta o ID do ativo",IF(COUNTIF(at_id,A83)&gt;1,"ERRO: ID do ativo duplicado",IF(COUNTA(K83:O83)&gt;P83,"Pendente: nota inválida (use inteiro de 1 a 3)",IF(P83&lt;5,"Pendente: falta(m) "&amp;(5-P83)&amp;" nota(s)",IF(NOT(cad_limites_ok),"Pendente: corrija os limites A/B em Critérios",IF(K83=3,"A por Segurança = 3","Classe pela soma e limites")))))))</f>
        <v/>
      </c>
    </row>
    <row r="84">
      <c r="A84" s="36" t="n"/>
      <c r="B84" s="36" t="n"/>
      <c r="C84" s="37" t="n"/>
      <c r="D84" s="36" t="n"/>
      <c r="E84" s="38">
        <f>IF(D84="","",IFERROR(INDEX(lst_tipo_nome,MATCH(D84,lst_tipo_id,0)),"Tipo não cadastrado em Listas"))</f>
        <v/>
      </c>
      <c r="F84" s="36" t="n"/>
      <c r="G84" s="36" t="n"/>
      <c r="H84" s="36" t="n"/>
      <c r="I84" s="39" t="n"/>
      <c r="J84" s="38">
        <f>IF(OR(B84="",D84="",H84="",I84=""),"",IF(B84=H84&amp;"-"&amp;IFERROR(INDEX(lst_tipo_sigla,MATCH(D84,lst_tipo_id,0)),"???")&amp;"-"&amp;RIGHT("00"&amp;I84,3),"OK","Verificar: TAG difere de setor-sigla-número"))</f>
        <v/>
      </c>
      <c r="K84" s="39" t="n"/>
      <c r="L84" s="39" t="n"/>
      <c r="M84" s="39" t="n"/>
      <c r="N84" s="39" t="n"/>
      <c r="O84" s="39" t="n"/>
      <c r="P84" s="38">
        <f>IF(COUNTA(A84:D84)+COUNTA(F84:I84)+COUNTA(K84:O84)=0,"",IF(ISNUMBER(K84),AND(K84=INT(K84),K84&gt;=1,K84&lt;=3),FALSE)+IF(ISNUMBER(L84),AND(L84=INT(L84),L84&gt;=1,L84&lt;=3),FALSE)+IF(ISNUMBER(M84),AND(M84=INT(M84),M84&gt;=1,M84&lt;=3),FALSE)+IF(ISNUMBER(N84),AND(N84=INT(N84),N84&gt;=1,N84&lt;=3),FALSE)+IF(ISNUMBER(O84),AND(O84=INT(O84),O84&gt;=1,O84&lt;=3),FALSE))</f>
        <v/>
      </c>
      <c r="Q84" s="38">
        <f>IF(P84=5,SUM(K84:O84),"")</f>
        <v/>
      </c>
      <c r="R84" s="38">
        <f>IF(P84="","",IF(P84&lt;5,"Pendente",IF(NOT(cad_limites_ok),"Pendente",IF(K84=3,"A",IF(Q84&gt;=cad_limite_a,"A",IF(Q84&gt;=cad_limite_b,"B","C"))))))</f>
        <v/>
      </c>
      <c r="S84" s="40">
        <f>IF(P84="","",IF(A84="","Pendente: falta o ID do ativo",IF(COUNTIF(at_id,A84)&gt;1,"ERRO: ID do ativo duplicado",IF(COUNTA(K84:O84)&gt;P84,"Pendente: nota inválida (use inteiro de 1 a 3)",IF(P84&lt;5,"Pendente: falta(m) "&amp;(5-P84)&amp;" nota(s)",IF(NOT(cad_limites_ok),"Pendente: corrija os limites A/B em Critérios",IF(K84=3,"A por Segurança = 3","Classe pela soma e limites")))))))</f>
        <v/>
      </c>
    </row>
    <row r="85">
      <c r="A85" s="36" t="n"/>
      <c r="B85" s="36" t="n"/>
      <c r="C85" s="37" t="n"/>
      <c r="D85" s="36" t="n"/>
      <c r="E85" s="38">
        <f>IF(D85="","",IFERROR(INDEX(lst_tipo_nome,MATCH(D85,lst_tipo_id,0)),"Tipo não cadastrado em Listas"))</f>
        <v/>
      </c>
      <c r="F85" s="36" t="n"/>
      <c r="G85" s="36" t="n"/>
      <c r="H85" s="36" t="n"/>
      <c r="I85" s="39" t="n"/>
      <c r="J85" s="38">
        <f>IF(OR(B85="",D85="",H85="",I85=""),"",IF(B85=H85&amp;"-"&amp;IFERROR(INDEX(lst_tipo_sigla,MATCH(D85,lst_tipo_id,0)),"???")&amp;"-"&amp;RIGHT("00"&amp;I85,3),"OK","Verificar: TAG difere de setor-sigla-número"))</f>
        <v/>
      </c>
      <c r="K85" s="39" t="n"/>
      <c r="L85" s="39" t="n"/>
      <c r="M85" s="39" t="n"/>
      <c r="N85" s="39" t="n"/>
      <c r="O85" s="39" t="n"/>
      <c r="P85" s="38">
        <f>IF(COUNTA(A85:D85)+COUNTA(F85:I85)+COUNTA(K85:O85)=0,"",IF(ISNUMBER(K85),AND(K85=INT(K85),K85&gt;=1,K85&lt;=3),FALSE)+IF(ISNUMBER(L85),AND(L85=INT(L85),L85&gt;=1,L85&lt;=3),FALSE)+IF(ISNUMBER(M85),AND(M85=INT(M85),M85&gt;=1,M85&lt;=3),FALSE)+IF(ISNUMBER(N85),AND(N85=INT(N85),N85&gt;=1,N85&lt;=3),FALSE)+IF(ISNUMBER(O85),AND(O85=INT(O85),O85&gt;=1,O85&lt;=3),FALSE))</f>
        <v/>
      </c>
      <c r="Q85" s="38">
        <f>IF(P85=5,SUM(K85:O85),"")</f>
        <v/>
      </c>
      <c r="R85" s="38">
        <f>IF(P85="","",IF(P85&lt;5,"Pendente",IF(NOT(cad_limites_ok),"Pendente",IF(K85=3,"A",IF(Q85&gt;=cad_limite_a,"A",IF(Q85&gt;=cad_limite_b,"B","C"))))))</f>
        <v/>
      </c>
      <c r="S85" s="40">
        <f>IF(P85="","",IF(A85="","Pendente: falta o ID do ativo",IF(COUNTIF(at_id,A85)&gt;1,"ERRO: ID do ativo duplicado",IF(COUNTA(K85:O85)&gt;P85,"Pendente: nota inválida (use inteiro de 1 a 3)",IF(P85&lt;5,"Pendente: falta(m) "&amp;(5-P85)&amp;" nota(s)",IF(NOT(cad_limites_ok),"Pendente: corrija os limites A/B em Critérios",IF(K85=3,"A por Segurança = 3","Classe pela soma e limites")))))))</f>
        <v/>
      </c>
    </row>
    <row r="86">
      <c r="A86" s="36" t="n"/>
      <c r="B86" s="36" t="n"/>
      <c r="C86" s="37" t="n"/>
      <c r="D86" s="36" t="n"/>
      <c r="E86" s="38">
        <f>IF(D86="","",IFERROR(INDEX(lst_tipo_nome,MATCH(D86,lst_tipo_id,0)),"Tipo não cadastrado em Listas"))</f>
        <v/>
      </c>
      <c r="F86" s="36" t="n"/>
      <c r="G86" s="36" t="n"/>
      <c r="H86" s="36" t="n"/>
      <c r="I86" s="39" t="n"/>
      <c r="J86" s="38">
        <f>IF(OR(B86="",D86="",H86="",I86=""),"",IF(B86=H86&amp;"-"&amp;IFERROR(INDEX(lst_tipo_sigla,MATCH(D86,lst_tipo_id,0)),"???")&amp;"-"&amp;RIGHT("00"&amp;I86,3),"OK","Verificar: TAG difere de setor-sigla-número"))</f>
        <v/>
      </c>
      <c r="K86" s="39" t="n"/>
      <c r="L86" s="39" t="n"/>
      <c r="M86" s="39" t="n"/>
      <c r="N86" s="39" t="n"/>
      <c r="O86" s="39" t="n"/>
      <c r="P86" s="38">
        <f>IF(COUNTA(A86:D86)+COUNTA(F86:I86)+COUNTA(K86:O86)=0,"",IF(ISNUMBER(K86),AND(K86=INT(K86),K86&gt;=1,K86&lt;=3),FALSE)+IF(ISNUMBER(L86),AND(L86=INT(L86),L86&gt;=1,L86&lt;=3),FALSE)+IF(ISNUMBER(M86),AND(M86=INT(M86),M86&gt;=1,M86&lt;=3),FALSE)+IF(ISNUMBER(N86),AND(N86=INT(N86),N86&gt;=1,N86&lt;=3),FALSE)+IF(ISNUMBER(O86),AND(O86=INT(O86),O86&gt;=1,O86&lt;=3),FALSE))</f>
        <v/>
      </c>
      <c r="Q86" s="38">
        <f>IF(P86=5,SUM(K86:O86),"")</f>
        <v/>
      </c>
      <c r="R86" s="38">
        <f>IF(P86="","",IF(P86&lt;5,"Pendente",IF(NOT(cad_limites_ok),"Pendente",IF(K86=3,"A",IF(Q86&gt;=cad_limite_a,"A",IF(Q86&gt;=cad_limite_b,"B","C"))))))</f>
        <v/>
      </c>
      <c r="S86" s="40">
        <f>IF(P86="","",IF(A86="","Pendente: falta o ID do ativo",IF(COUNTIF(at_id,A86)&gt;1,"ERRO: ID do ativo duplicado",IF(COUNTA(K86:O86)&gt;P86,"Pendente: nota inválida (use inteiro de 1 a 3)",IF(P86&lt;5,"Pendente: falta(m) "&amp;(5-P86)&amp;" nota(s)",IF(NOT(cad_limites_ok),"Pendente: corrija os limites A/B em Critérios",IF(K86=3,"A por Segurança = 3","Classe pela soma e limites")))))))</f>
        <v/>
      </c>
    </row>
    <row r="87">
      <c r="A87" s="36" t="n"/>
      <c r="B87" s="36" t="n"/>
      <c r="C87" s="37" t="n"/>
      <c r="D87" s="36" t="n"/>
      <c r="E87" s="38">
        <f>IF(D87="","",IFERROR(INDEX(lst_tipo_nome,MATCH(D87,lst_tipo_id,0)),"Tipo não cadastrado em Listas"))</f>
        <v/>
      </c>
      <c r="F87" s="36" t="n"/>
      <c r="G87" s="36" t="n"/>
      <c r="H87" s="36" t="n"/>
      <c r="I87" s="39" t="n"/>
      <c r="J87" s="38">
        <f>IF(OR(B87="",D87="",H87="",I87=""),"",IF(B87=H87&amp;"-"&amp;IFERROR(INDEX(lst_tipo_sigla,MATCH(D87,lst_tipo_id,0)),"???")&amp;"-"&amp;RIGHT("00"&amp;I87,3),"OK","Verificar: TAG difere de setor-sigla-número"))</f>
        <v/>
      </c>
      <c r="K87" s="39" t="n"/>
      <c r="L87" s="39" t="n"/>
      <c r="M87" s="39" t="n"/>
      <c r="N87" s="39" t="n"/>
      <c r="O87" s="39" t="n"/>
      <c r="P87" s="38">
        <f>IF(COUNTA(A87:D87)+COUNTA(F87:I87)+COUNTA(K87:O87)=0,"",IF(ISNUMBER(K87),AND(K87=INT(K87),K87&gt;=1,K87&lt;=3),FALSE)+IF(ISNUMBER(L87),AND(L87=INT(L87),L87&gt;=1,L87&lt;=3),FALSE)+IF(ISNUMBER(M87),AND(M87=INT(M87),M87&gt;=1,M87&lt;=3),FALSE)+IF(ISNUMBER(N87),AND(N87=INT(N87),N87&gt;=1,N87&lt;=3),FALSE)+IF(ISNUMBER(O87),AND(O87=INT(O87),O87&gt;=1,O87&lt;=3),FALSE))</f>
        <v/>
      </c>
      <c r="Q87" s="38">
        <f>IF(P87=5,SUM(K87:O87),"")</f>
        <v/>
      </c>
      <c r="R87" s="38">
        <f>IF(P87="","",IF(P87&lt;5,"Pendente",IF(NOT(cad_limites_ok),"Pendente",IF(K87=3,"A",IF(Q87&gt;=cad_limite_a,"A",IF(Q87&gt;=cad_limite_b,"B","C"))))))</f>
        <v/>
      </c>
      <c r="S87" s="40">
        <f>IF(P87="","",IF(A87="","Pendente: falta o ID do ativo",IF(COUNTIF(at_id,A87)&gt;1,"ERRO: ID do ativo duplicado",IF(COUNTA(K87:O87)&gt;P87,"Pendente: nota inválida (use inteiro de 1 a 3)",IF(P87&lt;5,"Pendente: falta(m) "&amp;(5-P87)&amp;" nota(s)",IF(NOT(cad_limites_ok),"Pendente: corrija os limites A/B em Critérios",IF(K87=3,"A por Segurança = 3","Classe pela soma e limites")))))))</f>
        <v/>
      </c>
    </row>
    <row r="88">
      <c r="A88" s="36" t="n"/>
      <c r="B88" s="36" t="n"/>
      <c r="C88" s="37" t="n"/>
      <c r="D88" s="36" t="n"/>
      <c r="E88" s="38">
        <f>IF(D88="","",IFERROR(INDEX(lst_tipo_nome,MATCH(D88,lst_tipo_id,0)),"Tipo não cadastrado em Listas"))</f>
        <v/>
      </c>
      <c r="F88" s="36" t="n"/>
      <c r="G88" s="36" t="n"/>
      <c r="H88" s="36" t="n"/>
      <c r="I88" s="39" t="n"/>
      <c r="J88" s="38">
        <f>IF(OR(B88="",D88="",H88="",I88=""),"",IF(B88=H88&amp;"-"&amp;IFERROR(INDEX(lst_tipo_sigla,MATCH(D88,lst_tipo_id,0)),"???")&amp;"-"&amp;RIGHT("00"&amp;I88,3),"OK","Verificar: TAG difere de setor-sigla-número"))</f>
        <v/>
      </c>
      <c r="K88" s="39" t="n"/>
      <c r="L88" s="39" t="n"/>
      <c r="M88" s="39" t="n"/>
      <c r="N88" s="39" t="n"/>
      <c r="O88" s="39" t="n"/>
      <c r="P88" s="38">
        <f>IF(COUNTA(A88:D88)+COUNTA(F88:I88)+COUNTA(K88:O88)=0,"",IF(ISNUMBER(K88),AND(K88=INT(K88),K88&gt;=1,K88&lt;=3),FALSE)+IF(ISNUMBER(L88),AND(L88=INT(L88),L88&gt;=1,L88&lt;=3),FALSE)+IF(ISNUMBER(M88),AND(M88=INT(M88),M88&gt;=1,M88&lt;=3),FALSE)+IF(ISNUMBER(N88),AND(N88=INT(N88),N88&gt;=1,N88&lt;=3),FALSE)+IF(ISNUMBER(O88),AND(O88=INT(O88),O88&gt;=1,O88&lt;=3),FALSE))</f>
        <v/>
      </c>
      <c r="Q88" s="38">
        <f>IF(P88=5,SUM(K88:O88),"")</f>
        <v/>
      </c>
      <c r="R88" s="38">
        <f>IF(P88="","",IF(P88&lt;5,"Pendente",IF(NOT(cad_limites_ok),"Pendente",IF(K88=3,"A",IF(Q88&gt;=cad_limite_a,"A",IF(Q88&gt;=cad_limite_b,"B","C"))))))</f>
        <v/>
      </c>
      <c r="S88" s="40">
        <f>IF(P88="","",IF(A88="","Pendente: falta o ID do ativo",IF(COUNTIF(at_id,A88)&gt;1,"ERRO: ID do ativo duplicado",IF(COUNTA(K88:O88)&gt;P88,"Pendente: nota inválida (use inteiro de 1 a 3)",IF(P88&lt;5,"Pendente: falta(m) "&amp;(5-P88)&amp;" nota(s)",IF(NOT(cad_limites_ok),"Pendente: corrija os limites A/B em Critérios",IF(K88=3,"A por Segurança = 3","Classe pela soma e limites")))))))</f>
        <v/>
      </c>
    </row>
    <row r="89">
      <c r="A89" s="36" t="n"/>
      <c r="B89" s="36" t="n"/>
      <c r="C89" s="37" t="n"/>
      <c r="D89" s="36" t="n"/>
      <c r="E89" s="38">
        <f>IF(D89="","",IFERROR(INDEX(lst_tipo_nome,MATCH(D89,lst_tipo_id,0)),"Tipo não cadastrado em Listas"))</f>
        <v/>
      </c>
      <c r="F89" s="36" t="n"/>
      <c r="G89" s="36" t="n"/>
      <c r="H89" s="36" t="n"/>
      <c r="I89" s="39" t="n"/>
      <c r="J89" s="38">
        <f>IF(OR(B89="",D89="",H89="",I89=""),"",IF(B89=H89&amp;"-"&amp;IFERROR(INDEX(lst_tipo_sigla,MATCH(D89,lst_tipo_id,0)),"???")&amp;"-"&amp;RIGHT("00"&amp;I89,3),"OK","Verificar: TAG difere de setor-sigla-número"))</f>
        <v/>
      </c>
      <c r="K89" s="39" t="n"/>
      <c r="L89" s="39" t="n"/>
      <c r="M89" s="39" t="n"/>
      <c r="N89" s="39" t="n"/>
      <c r="O89" s="39" t="n"/>
      <c r="P89" s="38">
        <f>IF(COUNTA(A89:D89)+COUNTA(F89:I89)+COUNTA(K89:O89)=0,"",IF(ISNUMBER(K89),AND(K89=INT(K89),K89&gt;=1,K89&lt;=3),FALSE)+IF(ISNUMBER(L89),AND(L89=INT(L89),L89&gt;=1,L89&lt;=3),FALSE)+IF(ISNUMBER(M89),AND(M89=INT(M89),M89&gt;=1,M89&lt;=3),FALSE)+IF(ISNUMBER(N89),AND(N89=INT(N89),N89&gt;=1,N89&lt;=3),FALSE)+IF(ISNUMBER(O89),AND(O89=INT(O89),O89&gt;=1,O89&lt;=3),FALSE))</f>
        <v/>
      </c>
      <c r="Q89" s="38">
        <f>IF(P89=5,SUM(K89:O89),"")</f>
        <v/>
      </c>
      <c r="R89" s="38">
        <f>IF(P89="","",IF(P89&lt;5,"Pendente",IF(NOT(cad_limites_ok),"Pendente",IF(K89=3,"A",IF(Q89&gt;=cad_limite_a,"A",IF(Q89&gt;=cad_limite_b,"B","C"))))))</f>
        <v/>
      </c>
      <c r="S89" s="40">
        <f>IF(P89="","",IF(A89="","Pendente: falta o ID do ativo",IF(COUNTIF(at_id,A89)&gt;1,"ERRO: ID do ativo duplicado",IF(COUNTA(K89:O89)&gt;P89,"Pendente: nota inválida (use inteiro de 1 a 3)",IF(P89&lt;5,"Pendente: falta(m) "&amp;(5-P89)&amp;" nota(s)",IF(NOT(cad_limites_ok),"Pendente: corrija os limites A/B em Critérios",IF(K89=3,"A por Segurança = 3","Classe pela soma e limites")))))))</f>
        <v/>
      </c>
    </row>
    <row r="90">
      <c r="A90" s="36" t="n"/>
      <c r="B90" s="36" t="n"/>
      <c r="C90" s="37" t="n"/>
      <c r="D90" s="36" t="n"/>
      <c r="E90" s="38">
        <f>IF(D90="","",IFERROR(INDEX(lst_tipo_nome,MATCH(D90,lst_tipo_id,0)),"Tipo não cadastrado em Listas"))</f>
        <v/>
      </c>
      <c r="F90" s="36" t="n"/>
      <c r="G90" s="36" t="n"/>
      <c r="H90" s="36" t="n"/>
      <c r="I90" s="39" t="n"/>
      <c r="J90" s="38">
        <f>IF(OR(B90="",D90="",H90="",I90=""),"",IF(B90=H90&amp;"-"&amp;IFERROR(INDEX(lst_tipo_sigla,MATCH(D90,lst_tipo_id,0)),"???")&amp;"-"&amp;RIGHT("00"&amp;I90,3),"OK","Verificar: TAG difere de setor-sigla-número"))</f>
        <v/>
      </c>
      <c r="K90" s="39" t="n"/>
      <c r="L90" s="39" t="n"/>
      <c r="M90" s="39" t="n"/>
      <c r="N90" s="39" t="n"/>
      <c r="O90" s="39" t="n"/>
      <c r="P90" s="38">
        <f>IF(COUNTA(A90:D90)+COUNTA(F90:I90)+COUNTA(K90:O90)=0,"",IF(ISNUMBER(K90),AND(K90=INT(K90),K90&gt;=1,K90&lt;=3),FALSE)+IF(ISNUMBER(L90),AND(L90=INT(L90),L90&gt;=1,L90&lt;=3),FALSE)+IF(ISNUMBER(M90),AND(M90=INT(M90),M90&gt;=1,M90&lt;=3),FALSE)+IF(ISNUMBER(N90),AND(N90=INT(N90),N90&gt;=1,N90&lt;=3),FALSE)+IF(ISNUMBER(O90),AND(O90=INT(O90),O90&gt;=1,O90&lt;=3),FALSE))</f>
        <v/>
      </c>
      <c r="Q90" s="38">
        <f>IF(P90=5,SUM(K90:O90),"")</f>
        <v/>
      </c>
      <c r="R90" s="38">
        <f>IF(P90="","",IF(P90&lt;5,"Pendente",IF(NOT(cad_limites_ok),"Pendente",IF(K90=3,"A",IF(Q90&gt;=cad_limite_a,"A",IF(Q90&gt;=cad_limite_b,"B","C"))))))</f>
        <v/>
      </c>
      <c r="S90" s="40">
        <f>IF(P90="","",IF(A90="","Pendente: falta o ID do ativo",IF(COUNTIF(at_id,A90)&gt;1,"ERRO: ID do ativo duplicado",IF(COUNTA(K90:O90)&gt;P90,"Pendente: nota inválida (use inteiro de 1 a 3)",IF(P90&lt;5,"Pendente: falta(m) "&amp;(5-P90)&amp;" nota(s)",IF(NOT(cad_limites_ok),"Pendente: corrija os limites A/B em Critérios",IF(K90=3,"A por Segurança = 3","Classe pela soma e limites")))))))</f>
        <v/>
      </c>
    </row>
    <row r="91">
      <c r="A91" s="36" t="n"/>
      <c r="B91" s="36" t="n"/>
      <c r="C91" s="37" t="n"/>
      <c r="D91" s="36" t="n"/>
      <c r="E91" s="38">
        <f>IF(D91="","",IFERROR(INDEX(lst_tipo_nome,MATCH(D91,lst_tipo_id,0)),"Tipo não cadastrado em Listas"))</f>
        <v/>
      </c>
      <c r="F91" s="36" t="n"/>
      <c r="G91" s="36" t="n"/>
      <c r="H91" s="36" t="n"/>
      <c r="I91" s="39" t="n"/>
      <c r="J91" s="38">
        <f>IF(OR(B91="",D91="",H91="",I91=""),"",IF(B91=H91&amp;"-"&amp;IFERROR(INDEX(lst_tipo_sigla,MATCH(D91,lst_tipo_id,0)),"???")&amp;"-"&amp;RIGHT("00"&amp;I91,3),"OK","Verificar: TAG difere de setor-sigla-número"))</f>
        <v/>
      </c>
      <c r="K91" s="39" t="n"/>
      <c r="L91" s="39" t="n"/>
      <c r="M91" s="39" t="n"/>
      <c r="N91" s="39" t="n"/>
      <c r="O91" s="39" t="n"/>
      <c r="P91" s="38">
        <f>IF(COUNTA(A91:D91)+COUNTA(F91:I91)+COUNTA(K91:O91)=0,"",IF(ISNUMBER(K91),AND(K91=INT(K91),K91&gt;=1,K91&lt;=3),FALSE)+IF(ISNUMBER(L91),AND(L91=INT(L91),L91&gt;=1,L91&lt;=3),FALSE)+IF(ISNUMBER(M91),AND(M91=INT(M91),M91&gt;=1,M91&lt;=3),FALSE)+IF(ISNUMBER(N91),AND(N91=INT(N91),N91&gt;=1,N91&lt;=3),FALSE)+IF(ISNUMBER(O91),AND(O91=INT(O91),O91&gt;=1,O91&lt;=3),FALSE))</f>
        <v/>
      </c>
      <c r="Q91" s="38">
        <f>IF(P91=5,SUM(K91:O91),"")</f>
        <v/>
      </c>
      <c r="R91" s="38">
        <f>IF(P91="","",IF(P91&lt;5,"Pendente",IF(NOT(cad_limites_ok),"Pendente",IF(K91=3,"A",IF(Q91&gt;=cad_limite_a,"A",IF(Q91&gt;=cad_limite_b,"B","C"))))))</f>
        <v/>
      </c>
      <c r="S91" s="40">
        <f>IF(P91="","",IF(A91="","Pendente: falta o ID do ativo",IF(COUNTIF(at_id,A91)&gt;1,"ERRO: ID do ativo duplicado",IF(COUNTA(K91:O91)&gt;P91,"Pendente: nota inválida (use inteiro de 1 a 3)",IF(P91&lt;5,"Pendente: falta(m) "&amp;(5-P91)&amp;" nota(s)",IF(NOT(cad_limites_ok),"Pendente: corrija os limites A/B em Critérios",IF(K91=3,"A por Segurança = 3","Classe pela soma e limites")))))))</f>
        <v/>
      </c>
    </row>
    <row r="92">
      <c r="A92" s="36" t="n"/>
      <c r="B92" s="36" t="n"/>
      <c r="C92" s="37" t="n"/>
      <c r="D92" s="36" t="n"/>
      <c r="E92" s="38">
        <f>IF(D92="","",IFERROR(INDEX(lst_tipo_nome,MATCH(D92,lst_tipo_id,0)),"Tipo não cadastrado em Listas"))</f>
        <v/>
      </c>
      <c r="F92" s="36" t="n"/>
      <c r="G92" s="36" t="n"/>
      <c r="H92" s="36" t="n"/>
      <c r="I92" s="39" t="n"/>
      <c r="J92" s="38">
        <f>IF(OR(B92="",D92="",H92="",I92=""),"",IF(B92=H92&amp;"-"&amp;IFERROR(INDEX(lst_tipo_sigla,MATCH(D92,lst_tipo_id,0)),"???")&amp;"-"&amp;RIGHT("00"&amp;I92,3),"OK","Verificar: TAG difere de setor-sigla-número"))</f>
        <v/>
      </c>
      <c r="K92" s="39" t="n"/>
      <c r="L92" s="39" t="n"/>
      <c r="M92" s="39" t="n"/>
      <c r="N92" s="39" t="n"/>
      <c r="O92" s="39" t="n"/>
      <c r="P92" s="38">
        <f>IF(COUNTA(A92:D92)+COUNTA(F92:I92)+COUNTA(K92:O92)=0,"",IF(ISNUMBER(K92),AND(K92=INT(K92),K92&gt;=1,K92&lt;=3),FALSE)+IF(ISNUMBER(L92),AND(L92=INT(L92),L92&gt;=1,L92&lt;=3),FALSE)+IF(ISNUMBER(M92),AND(M92=INT(M92),M92&gt;=1,M92&lt;=3),FALSE)+IF(ISNUMBER(N92),AND(N92=INT(N92),N92&gt;=1,N92&lt;=3),FALSE)+IF(ISNUMBER(O92),AND(O92=INT(O92),O92&gt;=1,O92&lt;=3),FALSE))</f>
        <v/>
      </c>
      <c r="Q92" s="38">
        <f>IF(P92=5,SUM(K92:O92),"")</f>
        <v/>
      </c>
      <c r="R92" s="38">
        <f>IF(P92="","",IF(P92&lt;5,"Pendente",IF(NOT(cad_limites_ok),"Pendente",IF(K92=3,"A",IF(Q92&gt;=cad_limite_a,"A",IF(Q92&gt;=cad_limite_b,"B","C"))))))</f>
        <v/>
      </c>
      <c r="S92" s="40">
        <f>IF(P92="","",IF(A92="","Pendente: falta o ID do ativo",IF(COUNTIF(at_id,A92)&gt;1,"ERRO: ID do ativo duplicado",IF(COUNTA(K92:O92)&gt;P92,"Pendente: nota inválida (use inteiro de 1 a 3)",IF(P92&lt;5,"Pendente: falta(m) "&amp;(5-P92)&amp;" nota(s)",IF(NOT(cad_limites_ok),"Pendente: corrija os limites A/B em Critérios",IF(K92=3,"A por Segurança = 3","Classe pela soma e limites")))))))</f>
        <v/>
      </c>
    </row>
    <row r="93">
      <c r="A93" s="36" t="n"/>
      <c r="B93" s="36" t="n"/>
      <c r="C93" s="37" t="n"/>
      <c r="D93" s="36" t="n"/>
      <c r="E93" s="38">
        <f>IF(D93="","",IFERROR(INDEX(lst_tipo_nome,MATCH(D93,lst_tipo_id,0)),"Tipo não cadastrado em Listas"))</f>
        <v/>
      </c>
      <c r="F93" s="36" t="n"/>
      <c r="G93" s="36" t="n"/>
      <c r="H93" s="36" t="n"/>
      <c r="I93" s="39" t="n"/>
      <c r="J93" s="38">
        <f>IF(OR(B93="",D93="",H93="",I93=""),"",IF(B93=H93&amp;"-"&amp;IFERROR(INDEX(lst_tipo_sigla,MATCH(D93,lst_tipo_id,0)),"???")&amp;"-"&amp;RIGHT("00"&amp;I93,3),"OK","Verificar: TAG difere de setor-sigla-número"))</f>
        <v/>
      </c>
      <c r="K93" s="39" t="n"/>
      <c r="L93" s="39" t="n"/>
      <c r="M93" s="39" t="n"/>
      <c r="N93" s="39" t="n"/>
      <c r="O93" s="39" t="n"/>
      <c r="P93" s="38">
        <f>IF(COUNTA(A93:D93)+COUNTA(F93:I93)+COUNTA(K93:O93)=0,"",IF(ISNUMBER(K93),AND(K93=INT(K93),K93&gt;=1,K93&lt;=3),FALSE)+IF(ISNUMBER(L93),AND(L93=INT(L93),L93&gt;=1,L93&lt;=3),FALSE)+IF(ISNUMBER(M93),AND(M93=INT(M93),M93&gt;=1,M93&lt;=3),FALSE)+IF(ISNUMBER(N93),AND(N93=INT(N93),N93&gt;=1,N93&lt;=3),FALSE)+IF(ISNUMBER(O93),AND(O93=INT(O93),O93&gt;=1,O93&lt;=3),FALSE))</f>
        <v/>
      </c>
      <c r="Q93" s="38">
        <f>IF(P93=5,SUM(K93:O93),"")</f>
        <v/>
      </c>
      <c r="R93" s="38">
        <f>IF(P93="","",IF(P93&lt;5,"Pendente",IF(NOT(cad_limites_ok),"Pendente",IF(K93=3,"A",IF(Q93&gt;=cad_limite_a,"A",IF(Q93&gt;=cad_limite_b,"B","C"))))))</f>
        <v/>
      </c>
      <c r="S93" s="40">
        <f>IF(P93="","",IF(A93="","Pendente: falta o ID do ativo",IF(COUNTIF(at_id,A93)&gt;1,"ERRO: ID do ativo duplicado",IF(COUNTA(K93:O93)&gt;P93,"Pendente: nota inválida (use inteiro de 1 a 3)",IF(P93&lt;5,"Pendente: falta(m) "&amp;(5-P93)&amp;" nota(s)",IF(NOT(cad_limites_ok),"Pendente: corrija os limites A/B em Critérios",IF(K93=3,"A por Segurança = 3","Classe pela soma e limites")))))))</f>
        <v/>
      </c>
    </row>
    <row r="94">
      <c r="A94" s="36" t="n"/>
      <c r="B94" s="36" t="n"/>
      <c r="C94" s="37" t="n"/>
      <c r="D94" s="36" t="n"/>
      <c r="E94" s="38">
        <f>IF(D94="","",IFERROR(INDEX(lst_tipo_nome,MATCH(D94,lst_tipo_id,0)),"Tipo não cadastrado em Listas"))</f>
        <v/>
      </c>
      <c r="F94" s="36" t="n"/>
      <c r="G94" s="36" t="n"/>
      <c r="H94" s="36" t="n"/>
      <c r="I94" s="39" t="n"/>
      <c r="J94" s="38">
        <f>IF(OR(B94="",D94="",H94="",I94=""),"",IF(B94=H94&amp;"-"&amp;IFERROR(INDEX(lst_tipo_sigla,MATCH(D94,lst_tipo_id,0)),"???")&amp;"-"&amp;RIGHT("00"&amp;I94,3),"OK","Verificar: TAG difere de setor-sigla-número"))</f>
        <v/>
      </c>
      <c r="K94" s="39" t="n"/>
      <c r="L94" s="39" t="n"/>
      <c r="M94" s="39" t="n"/>
      <c r="N94" s="39" t="n"/>
      <c r="O94" s="39" t="n"/>
      <c r="P94" s="38">
        <f>IF(COUNTA(A94:D94)+COUNTA(F94:I94)+COUNTA(K94:O94)=0,"",IF(ISNUMBER(K94),AND(K94=INT(K94),K94&gt;=1,K94&lt;=3),FALSE)+IF(ISNUMBER(L94),AND(L94=INT(L94),L94&gt;=1,L94&lt;=3),FALSE)+IF(ISNUMBER(M94),AND(M94=INT(M94),M94&gt;=1,M94&lt;=3),FALSE)+IF(ISNUMBER(N94),AND(N94=INT(N94),N94&gt;=1,N94&lt;=3),FALSE)+IF(ISNUMBER(O94),AND(O94=INT(O94),O94&gt;=1,O94&lt;=3),FALSE))</f>
        <v/>
      </c>
      <c r="Q94" s="38">
        <f>IF(P94=5,SUM(K94:O94),"")</f>
        <v/>
      </c>
      <c r="R94" s="38">
        <f>IF(P94="","",IF(P94&lt;5,"Pendente",IF(NOT(cad_limites_ok),"Pendente",IF(K94=3,"A",IF(Q94&gt;=cad_limite_a,"A",IF(Q94&gt;=cad_limite_b,"B","C"))))))</f>
        <v/>
      </c>
      <c r="S94" s="40">
        <f>IF(P94="","",IF(A94="","Pendente: falta o ID do ativo",IF(COUNTIF(at_id,A94)&gt;1,"ERRO: ID do ativo duplicado",IF(COUNTA(K94:O94)&gt;P94,"Pendente: nota inválida (use inteiro de 1 a 3)",IF(P94&lt;5,"Pendente: falta(m) "&amp;(5-P94)&amp;" nota(s)",IF(NOT(cad_limites_ok),"Pendente: corrija os limites A/B em Critérios",IF(K94=3,"A por Segurança = 3","Classe pela soma e limites")))))))</f>
        <v/>
      </c>
    </row>
    <row r="95">
      <c r="A95" s="36" t="n"/>
      <c r="B95" s="36" t="n"/>
      <c r="C95" s="37" t="n"/>
      <c r="D95" s="36" t="n"/>
      <c r="E95" s="38">
        <f>IF(D95="","",IFERROR(INDEX(lst_tipo_nome,MATCH(D95,lst_tipo_id,0)),"Tipo não cadastrado em Listas"))</f>
        <v/>
      </c>
      <c r="F95" s="36" t="n"/>
      <c r="G95" s="36" t="n"/>
      <c r="H95" s="36" t="n"/>
      <c r="I95" s="39" t="n"/>
      <c r="J95" s="38">
        <f>IF(OR(B95="",D95="",H95="",I95=""),"",IF(B95=H95&amp;"-"&amp;IFERROR(INDEX(lst_tipo_sigla,MATCH(D95,lst_tipo_id,0)),"???")&amp;"-"&amp;RIGHT("00"&amp;I95,3),"OK","Verificar: TAG difere de setor-sigla-número"))</f>
        <v/>
      </c>
      <c r="K95" s="39" t="n"/>
      <c r="L95" s="39" t="n"/>
      <c r="M95" s="39" t="n"/>
      <c r="N95" s="39" t="n"/>
      <c r="O95" s="39" t="n"/>
      <c r="P95" s="38">
        <f>IF(COUNTA(A95:D95)+COUNTA(F95:I95)+COUNTA(K95:O95)=0,"",IF(ISNUMBER(K95),AND(K95=INT(K95),K95&gt;=1,K95&lt;=3),FALSE)+IF(ISNUMBER(L95),AND(L95=INT(L95),L95&gt;=1,L95&lt;=3),FALSE)+IF(ISNUMBER(M95),AND(M95=INT(M95),M95&gt;=1,M95&lt;=3),FALSE)+IF(ISNUMBER(N95),AND(N95=INT(N95),N95&gt;=1,N95&lt;=3),FALSE)+IF(ISNUMBER(O95),AND(O95=INT(O95),O95&gt;=1,O95&lt;=3),FALSE))</f>
        <v/>
      </c>
      <c r="Q95" s="38">
        <f>IF(P95=5,SUM(K95:O95),"")</f>
        <v/>
      </c>
      <c r="R95" s="38">
        <f>IF(P95="","",IF(P95&lt;5,"Pendente",IF(NOT(cad_limites_ok),"Pendente",IF(K95=3,"A",IF(Q95&gt;=cad_limite_a,"A",IF(Q95&gt;=cad_limite_b,"B","C"))))))</f>
        <v/>
      </c>
      <c r="S95" s="40">
        <f>IF(P95="","",IF(A95="","Pendente: falta o ID do ativo",IF(COUNTIF(at_id,A95)&gt;1,"ERRO: ID do ativo duplicado",IF(COUNTA(K95:O95)&gt;P95,"Pendente: nota inválida (use inteiro de 1 a 3)",IF(P95&lt;5,"Pendente: falta(m) "&amp;(5-P95)&amp;" nota(s)",IF(NOT(cad_limites_ok),"Pendente: corrija os limites A/B em Critérios",IF(K95=3,"A por Segurança = 3","Classe pela soma e limites")))))))</f>
        <v/>
      </c>
    </row>
    <row r="96">
      <c r="A96" s="36" t="n"/>
      <c r="B96" s="36" t="n"/>
      <c r="C96" s="37" t="n"/>
      <c r="D96" s="36" t="n"/>
      <c r="E96" s="38">
        <f>IF(D96="","",IFERROR(INDEX(lst_tipo_nome,MATCH(D96,lst_tipo_id,0)),"Tipo não cadastrado em Listas"))</f>
        <v/>
      </c>
      <c r="F96" s="36" t="n"/>
      <c r="G96" s="36" t="n"/>
      <c r="H96" s="36" t="n"/>
      <c r="I96" s="39" t="n"/>
      <c r="J96" s="38">
        <f>IF(OR(B96="",D96="",H96="",I96=""),"",IF(B96=H96&amp;"-"&amp;IFERROR(INDEX(lst_tipo_sigla,MATCH(D96,lst_tipo_id,0)),"???")&amp;"-"&amp;RIGHT("00"&amp;I96,3),"OK","Verificar: TAG difere de setor-sigla-número"))</f>
        <v/>
      </c>
      <c r="K96" s="39" t="n"/>
      <c r="L96" s="39" t="n"/>
      <c r="M96" s="39" t="n"/>
      <c r="N96" s="39" t="n"/>
      <c r="O96" s="39" t="n"/>
      <c r="P96" s="38">
        <f>IF(COUNTA(A96:D96)+COUNTA(F96:I96)+COUNTA(K96:O96)=0,"",IF(ISNUMBER(K96),AND(K96=INT(K96),K96&gt;=1,K96&lt;=3),FALSE)+IF(ISNUMBER(L96),AND(L96=INT(L96),L96&gt;=1,L96&lt;=3),FALSE)+IF(ISNUMBER(M96),AND(M96=INT(M96),M96&gt;=1,M96&lt;=3),FALSE)+IF(ISNUMBER(N96),AND(N96=INT(N96),N96&gt;=1,N96&lt;=3),FALSE)+IF(ISNUMBER(O96),AND(O96=INT(O96),O96&gt;=1,O96&lt;=3),FALSE))</f>
        <v/>
      </c>
      <c r="Q96" s="38">
        <f>IF(P96=5,SUM(K96:O96),"")</f>
        <v/>
      </c>
      <c r="R96" s="38">
        <f>IF(P96="","",IF(P96&lt;5,"Pendente",IF(NOT(cad_limites_ok),"Pendente",IF(K96=3,"A",IF(Q96&gt;=cad_limite_a,"A",IF(Q96&gt;=cad_limite_b,"B","C"))))))</f>
        <v/>
      </c>
      <c r="S96" s="40">
        <f>IF(P96="","",IF(A96="","Pendente: falta o ID do ativo",IF(COUNTIF(at_id,A96)&gt;1,"ERRO: ID do ativo duplicado",IF(COUNTA(K96:O96)&gt;P96,"Pendente: nota inválida (use inteiro de 1 a 3)",IF(P96&lt;5,"Pendente: falta(m) "&amp;(5-P96)&amp;" nota(s)",IF(NOT(cad_limites_ok),"Pendente: corrija os limites A/B em Critérios",IF(K96=3,"A por Segurança = 3","Classe pela soma e limites")))))))</f>
        <v/>
      </c>
    </row>
    <row r="97">
      <c r="A97" s="36" t="n"/>
      <c r="B97" s="36" t="n"/>
      <c r="C97" s="37" t="n"/>
      <c r="D97" s="36" t="n"/>
      <c r="E97" s="38">
        <f>IF(D97="","",IFERROR(INDEX(lst_tipo_nome,MATCH(D97,lst_tipo_id,0)),"Tipo não cadastrado em Listas"))</f>
        <v/>
      </c>
      <c r="F97" s="36" t="n"/>
      <c r="G97" s="36" t="n"/>
      <c r="H97" s="36" t="n"/>
      <c r="I97" s="39" t="n"/>
      <c r="J97" s="38">
        <f>IF(OR(B97="",D97="",H97="",I97=""),"",IF(B97=H97&amp;"-"&amp;IFERROR(INDEX(lst_tipo_sigla,MATCH(D97,lst_tipo_id,0)),"???")&amp;"-"&amp;RIGHT("00"&amp;I97,3),"OK","Verificar: TAG difere de setor-sigla-número"))</f>
        <v/>
      </c>
      <c r="K97" s="39" t="n"/>
      <c r="L97" s="39" t="n"/>
      <c r="M97" s="39" t="n"/>
      <c r="N97" s="39" t="n"/>
      <c r="O97" s="39" t="n"/>
      <c r="P97" s="38">
        <f>IF(COUNTA(A97:D97)+COUNTA(F97:I97)+COUNTA(K97:O97)=0,"",IF(ISNUMBER(K97),AND(K97=INT(K97),K97&gt;=1,K97&lt;=3),FALSE)+IF(ISNUMBER(L97),AND(L97=INT(L97),L97&gt;=1,L97&lt;=3),FALSE)+IF(ISNUMBER(M97),AND(M97=INT(M97),M97&gt;=1,M97&lt;=3),FALSE)+IF(ISNUMBER(N97),AND(N97=INT(N97),N97&gt;=1,N97&lt;=3),FALSE)+IF(ISNUMBER(O97),AND(O97=INT(O97),O97&gt;=1,O97&lt;=3),FALSE))</f>
        <v/>
      </c>
      <c r="Q97" s="38">
        <f>IF(P97=5,SUM(K97:O97),"")</f>
        <v/>
      </c>
      <c r="R97" s="38">
        <f>IF(P97="","",IF(P97&lt;5,"Pendente",IF(NOT(cad_limites_ok),"Pendente",IF(K97=3,"A",IF(Q97&gt;=cad_limite_a,"A",IF(Q97&gt;=cad_limite_b,"B","C"))))))</f>
        <v/>
      </c>
      <c r="S97" s="40">
        <f>IF(P97="","",IF(A97="","Pendente: falta o ID do ativo",IF(COUNTIF(at_id,A97)&gt;1,"ERRO: ID do ativo duplicado",IF(COUNTA(K97:O97)&gt;P97,"Pendente: nota inválida (use inteiro de 1 a 3)",IF(P97&lt;5,"Pendente: falta(m) "&amp;(5-P97)&amp;" nota(s)",IF(NOT(cad_limites_ok),"Pendente: corrija os limites A/B em Critérios",IF(K97=3,"A por Segurança = 3","Classe pela soma e limites")))))))</f>
        <v/>
      </c>
    </row>
    <row r="98">
      <c r="A98" s="36" t="n"/>
      <c r="B98" s="36" t="n"/>
      <c r="C98" s="37" t="n"/>
      <c r="D98" s="36" t="n"/>
      <c r="E98" s="38">
        <f>IF(D98="","",IFERROR(INDEX(lst_tipo_nome,MATCH(D98,lst_tipo_id,0)),"Tipo não cadastrado em Listas"))</f>
        <v/>
      </c>
      <c r="F98" s="36" t="n"/>
      <c r="G98" s="36" t="n"/>
      <c r="H98" s="36" t="n"/>
      <c r="I98" s="39" t="n"/>
      <c r="J98" s="38">
        <f>IF(OR(B98="",D98="",H98="",I98=""),"",IF(B98=H98&amp;"-"&amp;IFERROR(INDEX(lst_tipo_sigla,MATCH(D98,lst_tipo_id,0)),"???")&amp;"-"&amp;RIGHT("00"&amp;I98,3),"OK","Verificar: TAG difere de setor-sigla-número"))</f>
        <v/>
      </c>
      <c r="K98" s="39" t="n"/>
      <c r="L98" s="39" t="n"/>
      <c r="M98" s="39" t="n"/>
      <c r="N98" s="39" t="n"/>
      <c r="O98" s="39" t="n"/>
      <c r="P98" s="38">
        <f>IF(COUNTA(A98:D98)+COUNTA(F98:I98)+COUNTA(K98:O98)=0,"",IF(ISNUMBER(K98),AND(K98=INT(K98),K98&gt;=1,K98&lt;=3),FALSE)+IF(ISNUMBER(L98),AND(L98=INT(L98),L98&gt;=1,L98&lt;=3),FALSE)+IF(ISNUMBER(M98),AND(M98=INT(M98),M98&gt;=1,M98&lt;=3),FALSE)+IF(ISNUMBER(N98),AND(N98=INT(N98),N98&gt;=1,N98&lt;=3),FALSE)+IF(ISNUMBER(O98),AND(O98=INT(O98),O98&gt;=1,O98&lt;=3),FALSE))</f>
        <v/>
      </c>
      <c r="Q98" s="38">
        <f>IF(P98=5,SUM(K98:O98),"")</f>
        <v/>
      </c>
      <c r="R98" s="38">
        <f>IF(P98="","",IF(P98&lt;5,"Pendente",IF(NOT(cad_limites_ok),"Pendente",IF(K98=3,"A",IF(Q98&gt;=cad_limite_a,"A",IF(Q98&gt;=cad_limite_b,"B","C"))))))</f>
        <v/>
      </c>
      <c r="S98" s="40">
        <f>IF(P98="","",IF(A98="","Pendente: falta o ID do ativo",IF(COUNTIF(at_id,A98)&gt;1,"ERRO: ID do ativo duplicado",IF(COUNTA(K98:O98)&gt;P98,"Pendente: nota inválida (use inteiro de 1 a 3)",IF(P98&lt;5,"Pendente: falta(m) "&amp;(5-P98)&amp;" nota(s)",IF(NOT(cad_limites_ok),"Pendente: corrija os limites A/B em Critérios",IF(K98=3,"A por Segurança = 3","Classe pela soma e limites")))))))</f>
        <v/>
      </c>
    </row>
    <row r="99">
      <c r="A99" s="36" t="n"/>
      <c r="B99" s="36" t="n"/>
      <c r="C99" s="37" t="n"/>
      <c r="D99" s="36" t="n"/>
      <c r="E99" s="38">
        <f>IF(D99="","",IFERROR(INDEX(lst_tipo_nome,MATCH(D99,lst_tipo_id,0)),"Tipo não cadastrado em Listas"))</f>
        <v/>
      </c>
      <c r="F99" s="36" t="n"/>
      <c r="G99" s="36" t="n"/>
      <c r="H99" s="36" t="n"/>
      <c r="I99" s="39" t="n"/>
      <c r="J99" s="38">
        <f>IF(OR(B99="",D99="",H99="",I99=""),"",IF(B99=H99&amp;"-"&amp;IFERROR(INDEX(lst_tipo_sigla,MATCH(D99,lst_tipo_id,0)),"???")&amp;"-"&amp;RIGHT("00"&amp;I99,3),"OK","Verificar: TAG difere de setor-sigla-número"))</f>
        <v/>
      </c>
      <c r="K99" s="39" t="n"/>
      <c r="L99" s="39" t="n"/>
      <c r="M99" s="39" t="n"/>
      <c r="N99" s="39" t="n"/>
      <c r="O99" s="39" t="n"/>
      <c r="P99" s="38">
        <f>IF(COUNTA(A99:D99)+COUNTA(F99:I99)+COUNTA(K99:O99)=0,"",IF(ISNUMBER(K99),AND(K99=INT(K99),K99&gt;=1,K99&lt;=3),FALSE)+IF(ISNUMBER(L99),AND(L99=INT(L99),L99&gt;=1,L99&lt;=3),FALSE)+IF(ISNUMBER(M99),AND(M99=INT(M99),M99&gt;=1,M99&lt;=3),FALSE)+IF(ISNUMBER(N99),AND(N99=INT(N99),N99&gt;=1,N99&lt;=3),FALSE)+IF(ISNUMBER(O99),AND(O99=INT(O99),O99&gt;=1,O99&lt;=3),FALSE))</f>
        <v/>
      </c>
      <c r="Q99" s="38">
        <f>IF(P99=5,SUM(K99:O99),"")</f>
        <v/>
      </c>
      <c r="R99" s="38">
        <f>IF(P99="","",IF(P99&lt;5,"Pendente",IF(NOT(cad_limites_ok),"Pendente",IF(K99=3,"A",IF(Q99&gt;=cad_limite_a,"A",IF(Q99&gt;=cad_limite_b,"B","C"))))))</f>
        <v/>
      </c>
      <c r="S99" s="40">
        <f>IF(P99="","",IF(A99="","Pendente: falta o ID do ativo",IF(COUNTIF(at_id,A99)&gt;1,"ERRO: ID do ativo duplicado",IF(COUNTA(K99:O99)&gt;P99,"Pendente: nota inválida (use inteiro de 1 a 3)",IF(P99&lt;5,"Pendente: falta(m) "&amp;(5-P99)&amp;" nota(s)",IF(NOT(cad_limites_ok),"Pendente: corrija os limites A/B em Critérios",IF(K99=3,"A por Segurança = 3","Classe pela soma e limites")))))))</f>
        <v/>
      </c>
    </row>
    <row r="100">
      <c r="A100" s="36" t="n"/>
      <c r="B100" s="36" t="n"/>
      <c r="C100" s="37" t="n"/>
      <c r="D100" s="36" t="n"/>
      <c r="E100" s="38">
        <f>IF(D100="","",IFERROR(INDEX(lst_tipo_nome,MATCH(D100,lst_tipo_id,0)),"Tipo não cadastrado em Listas"))</f>
        <v/>
      </c>
      <c r="F100" s="36" t="n"/>
      <c r="G100" s="36" t="n"/>
      <c r="H100" s="36" t="n"/>
      <c r="I100" s="39" t="n"/>
      <c r="J100" s="38">
        <f>IF(OR(B100="",D100="",H100="",I100=""),"",IF(B100=H100&amp;"-"&amp;IFERROR(INDEX(lst_tipo_sigla,MATCH(D100,lst_tipo_id,0)),"???")&amp;"-"&amp;RIGHT("00"&amp;I100,3),"OK","Verificar: TAG difere de setor-sigla-número"))</f>
        <v/>
      </c>
      <c r="K100" s="39" t="n"/>
      <c r="L100" s="39" t="n"/>
      <c r="M100" s="39" t="n"/>
      <c r="N100" s="39" t="n"/>
      <c r="O100" s="39" t="n"/>
      <c r="P100" s="38">
        <f>IF(COUNTA(A100:D100)+COUNTA(F100:I100)+COUNTA(K100:O100)=0,"",IF(ISNUMBER(K100),AND(K100=INT(K100),K100&gt;=1,K100&lt;=3),FALSE)+IF(ISNUMBER(L100),AND(L100=INT(L100),L100&gt;=1,L100&lt;=3),FALSE)+IF(ISNUMBER(M100),AND(M100=INT(M100),M100&gt;=1,M100&lt;=3),FALSE)+IF(ISNUMBER(N100),AND(N100=INT(N100),N100&gt;=1,N100&lt;=3),FALSE)+IF(ISNUMBER(O100),AND(O100=INT(O100),O100&gt;=1,O100&lt;=3),FALSE))</f>
        <v/>
      </c>
      <c r="Q100" s="38">
        <f>IF(P100=5,SUM(K100:O100),"")</f>
        <v/>
      </c>
      <c r="R100" s="38">
        <f>IF(P100="","",IF(P100&lt;5,"Pendente",IF(NOT(cad_limites_ok),"Pendente",IF(K100=3,"A",IF(Q100&gt;=cad_limite_a,"A",IF(Q100&gt;=cad_limite_b,"B","C"))))))</f>
        <v/>
      </c>
      <c r="S100" s="40">
        <f>IF(P100="","",IF(A100="","Pendente: falta o ID do ativo",IF(COUNTIF(at_id,A100)&gt;1,"ERRO: ID do ativo duplicado",IF(COUNTA(K100:O100)&gt;P100,"Pendente: nota inválida (use inteiro de 1 a 3)",IF(P100&lt;5,"Pendente: falta(m) "&amp;(5-P100)&amp;" nota(s)",IF(NOT(cad_limites_ok),"Pendente: corrija os limites A/B em Critérios",IF(K100=3,"A por Segurança = 3","Classe pela soma e limites")))))))</f>
        <v/>
      </c>
    </row>
    <row r="101">
      <c r="A101" s="36" t="n"/>
      <c r="B101" s="36" t="n"/>
      <c r="C101" s="37" t="n"/>
      <c r="D101" s="36" t="n"/>
      <c r="E101" s="38">
        <f>IF(D101="","",IFERROR(INDEX(lst_tipo_nome,MATCH(D101,lst_tipo_id,0)),"Tipo não cadastrado em Listas"))</f>
        <v/>
      </c>
      <c r="F101" s="36" t="n"/>
      <c r="G101" s="36" t="n"/>
      <c r="H101" s="36" t="n"/>
      <c r="I101" s="39" t="n"/>
      <c r="J101" s="38">
        <f>IF(OR(B101="",D101="",H101="",I101=""),"",IF(B101=H101&amp;"-"&amp;IFERROR(INDEX(lst_tipo_sigla,MATCH(D101,lst_tipo_id,0)),"???")&amp;"-"&amp;RIGHT("00"&amp;I101,3),"OK","Verificar: TAG difere de setor-sigla-número"))</f>
        <v/>
      </c>
      <c r="K101" s="39" t="n"/>
      <c r="L101" s="39" t="n"/>
      <c r="M101" s="39" t="n"/>
      <c r="N101" s="39" t="n"/>
      <c r="O101" s="39" t="n"/>
      <c r="P101" s="38">
        <f>IF(COUNTA(A101:D101)+COUNTA(F101:I101)+COUNTA(K101:O101)=0,"",IF(ISNUMBER(K101),AND(K101=INT(K101),K101&gt;=1,K101&lt;=3),FALSE)+IF(ISNUMBER(L101),AND(L101=INT(L101),L101&gt;=1,L101&lt;=3),FALSE)+IF(ISNUMBER(M101),AND(M101=INT(M101),M101&gt;=1,M101&lt;=3),FALSE)+IF(ISNUMBER(N101),AND(N101=INT(N101),N101&gt;=1,N101&lt;=3),FALSE)+IF(ISNUMBER(O101),AND(O101=INT(O101),O101&gt;=1,O101&lt;=3),FALSE))</f>
        <v/>
      </c>
      <c r="Q101" s="38">
        <f>IF(P101=5,SUM(K101:O101),"")</f>
        <v/>
      </c>
      <c r="R101" s="38">
        <f>IF(P101="","",IF(P101&lt;5,"Pendente",IF(NOT(cad_limites_ok),"Pendente",IF(K101=3,"A",IF(Q101&gt;=cad_limite_a,"A",IF(Q101&gt;=cad_limite_b,"B","C"))))))</f>
        <v/>
      </c>
      <c r="S101" s="40">
        <f>IF(P101="","",IF(A101="","Pendente: falta o ID do ativo",IF(COUNTIF(at_id,A101)&gt;1,"ERRO: ID do ativo duplicado",IF(COUNTA(K101:O101)&gt;P101,"Pendente: nota inválida (use inteiro de 1 a 3)",IF(P101&lt;5,"Pendente: falta(m) "&amp;(5-P101)&amp;" nota(s)",IF(NOT(cad_limites_ok),"Pendente: corrija os limites A/B em Critérios",IF(K101=3,"A por Segurança = 3","Classe pela soma e limites")))))))</f>
        <v/>
      </c>
    </row>
    <row r="102">
      <c r="A102" s="36" t="n"/>
      <c r="B102" s="36" t="n"/>
      <c r="C102" s="37" t="n"/>
      <c r="D102" s="36" t="n"/>
      <c r="E102" s="38">
        <f>IF(D102="","",IFERROR(INDEX(lst_tipo_nome,MATCH(D102,lst_tipo_id,0)),"Tipo não cadastrado em Listas"))</f>
        <v/>
      </c>
      <c r="F102" s="36" t="n"/>
      <c r="G102" s="36" t="n"/>
      <c r="H102" s="36" t="n"/>
      <c r="I102" s="39" t="n"/>
      <c r="J102" s="38">
        <f>IF(OR(B102="",D102="",H102="",I102=""),"",IF(B102=H102&amp;"-"&amp;IFERROR(INDEX(lst_tipo_sigla,MATCH(D102,lst_tipo_id,0)),"???")&amp;"-"&amp;RIGHT("00"&amp;I102,3),"OK","Verificar: TAG difere de setor-sigla-número"))</f>
        <v/>
      </c>
      <c r="K102" s="39" t="n"/>
      <c r="L102" s="39" t="n"/>
      <c r="M102" s="39" t="n"/>
      <c r="N102" s="39" t="n"/>
      <c r="O102" s="39" t="n"/>
      <c r="P102" s="38">
        <f>IF(COUNTA(A102:D102)+COUNTA(F102:I102)+COUNTA(K102:O102)=0,"",IF(ISNUMBER(K102),AND(K102=INT(K102),K102&gt;=1,K102&lt;=3),FALSE)+IF(ISNUMBER(L102),AND(L102=INT(L102),L102&gt;=1,L102&lt;=3),FALSE)+IF(ISNUMBER(M102),AND(M102=INT(M102),M102&gt;=1,M102&lt;=3),FALSE)+IF(ISNUMBER(N102),AND(N102=INT(N102),N102&gt;=1,N102&lt;=3),FALSE)+IF(ISNUMBER(O102),AND(O102=INT(O102),O102&gt;=1,O102&lt;=3),FALSE))</f>
        <v/>
      </c>
      <c r="Q102" s="38">
        <f>IF(P102=5,SUM(K102:O102),"")</f>
        <v/>
      </c>
      <c r="R102" s="38">
        <f>IF(P102="","",IF(P102&lt;5,"Pendente",IF(NOT(cad_limites_ok),"Pendente",IF(K102=3,"A",IF(Q102&gt;=cad_limite_a,"A",IF(Q102&gt;=cad_limite_b,"B","C"))))))</f>
        <v/>
      </c>
      <c r="S102" s="40">
        <f>IF(P102="","",IF(A102="","Pendente: falta o ID do ativo",IF(COUNTIF(at_id,A102)&gt;1,"ERRO: ID do ativo duplicado",IF(COUNTA(K102:O102)&gt;P102,"Pendente: nota inválida (use inteiro de 1 a 3)",IF(P102&lt;5,"Pendente: falta(m) "&amp;(5-P102)&amp;" nota(s)",IF(NOT(cad_limites_ok),"Pendente: corrija os limites A/B em Critérios",IF(K102=3,"A por Segurança = 3","Classe pela soma e limites")))))))</f>
        <v/>
      </c>
    </row>
    <row r="103">
      <c r="A103" s="36" t="n"/>
      <c r="B103" s="36" t="n"/>
      <c r="C103" s="37" t="n"/>
      <c r="D103" s="36" t="n"/>
      <c r="E103" s="38">
        <f>IF(D103="","",IFERROR(INDEX(lst_tipo_nome,MATCH(D103,lst_tipo_id,0)),"Tipo não cadastrado em Listas"))</f>
        <v/>
      </c>
      <c r="F103" s="36" t="n"/>
      <c r="G103" s="36" t="n"/>
      <c r="H103" s="36" t="n"/>
      <c r="I103" s="39" t="n"/>
      <c r="J103" s="38">
        <f>IF(OR(B103="",D103="",H103="",I103=""),"",IF(B103=H103&amp;"-"&amp;IFERROR(INDEX(lst_tipo_sigla,MATCH(D103,lst_tipo_id,0)),"???")&amp;"-"&amp;RIGHT("00"&amp;I103,3),"OK","Verificar: TAG difere de setor-sigla-número"))</f>
        <v/>
      </c>
      <c r="K103" s="39" t="n"/>
      <c r="L103" s="39" t="n"/>
      <c r="M103" s="39" t="n"/>
      <c r="N103" s="39" t="n"/>
      <c r="O103" s="39" t="n"/>
      <c r="P103" s="38">
        <f>IF(COUNTA(A103:D103)+COUNTA(F103:I103)+COUNTA(K103:O103)=0,"",IF(ISNUMBER(K103),AND(K103=INT(K103),K103&gt;=1,K103&lt;=3),FALSE)+IF(ISNUMBER(L103),AND(L103=INT(L103),L103&gt;=1,L103&lt;=3),FALSE)+IF(ISNUMBER(M103),AND(M103=INT(M103),M103&gt;=1,M103&lt;=3),FALSE)+IF(ISNUMBER(N103),AND(N103=INT(N103),N103&gt;=1,N103&lt;=3),FALSE)+IF(ISNUMBER(O103),AND(O103=INT(O103),O103&gt;=1,O103&lt;=3),FALSE))</f>
        <v/>
      </c>
      <c r="Q103" s="38">
        <f>IF(P103=5,SUM(K103:O103),"")</f>
        <v/>
      </c>
      <c r="R103" s="38">
        <f>IF(P103="","",IF(P103&lt;5,"Pendente",IF(NOT(cad_limites_ok),"Pendente",IF(K103=3,"A",IF(Q103&gt;=cad_limite_a,"A",IF(Q103&gt;=cad_limite_b,"B","C"))))))</f>
        <v/>
      </c>
      <c r="S103" s="40">
        <f>IF(P103="","",IF(A103="","Pendente: falta o ID do ativo",IF(COUNTIF(at_id,A103)&gt;1,"ERRO: ID do ativo duplicado",IF(COUNTA(K103:O103)&gt;P103,"Pendente: nota inválida (use inteiro de 1 a 3)",IF(P103&lt;5,"Pendente: falta(m) "&amp;(5-P103)&amp;" nota(s)",IF(NOT(cad_limites_ok),"Pendente: corrija os limites A/B em Critérios",IF(K103=3,"A por Segurança = 3","Classe pela soma e limites")))))))</f>
        <v/>
      </c>
    </row>
    <row r="104">
      <c r="A104" s="36" t="n"/>
      <c r="B104" s="36" t="n"/>
      <c r="C104" s="37" t="n"/>
      <c r="D104" s="36" t="n"/>
      <c r="E104" s="38">
        <f>IF(D104="","",IFERROR(INDEX(lst_tipo_nome,MATCH(D104,lst_tipo_id,0)),"Tipo não cadastrado em Listas"))</f>
        <v/>
      </c>
      <c r="F104" s="36" t="n"/>
      <c r="G104" s="36" t="n"/>
      <c r="H104" s="36" t="n"/>
      <c r="I104" s="39" t="n"/>
      <c r="J104" s="38">
        <f>IF(OR(B104="",D104="",H104="",I104=""),"",IF(B104=H104&amp;"-"&amp;IFERROR(INDEX(lst_tipo_sigla,MATCH(D104,lst_tipo_id,0)),"???")&amp;"-"&amp;RIGHT("00"&amp;I104,3),"OK","Verificar: TAG difere de setor-sigla-número"))</f>
        <v/>
      </c>
      <c r="K104" s="39" t="n"/>
      <c r="L104" s="39" t="n"/>
      <c r="M104" s="39" t="n"/>
      <c r="N104" s="39" t="n"/>
      <c r="O104" s="39" t="n"/>
      <c r="P104" s="38">
        <f>IF(COUNTA(A104:D104)+COUNTA(F104:I104)+COUNTA(K104:O104)=0,"",IF(ISNUMBER(K104),AND(K104=INT(K104),K104&gt;=1,K104&lt;=3),FALSE)+IF(ISNUMBER(L104),AND(L104=INT(L104),L104&gt;=1,L104&lt;=3),FALSE)+IF(ISNUMBER(M104),AND(M104=INT(M104),M104&gt;=1,M104&lt;=3),FALSE)+IF(ISNUMBER(N104),AND(N104=INT(N104),N104&gt;=1,N104&lt;=3),FALSE)+IF(ISNUMBER(O104),AND(O104=INT(O104),O104&gt;=1,O104&lt;=3),FALSE))</f>
        <v/>
      </c>
      <c r="Q104" s="38">
        <f>IF(P104=5,SUM(K104:O104),"")</f>
        <v/>
      </c>
      <c r="R104" s="38">
        <f>IF(P104="","",IF(P104&lt;5,"Pendente",IF(NOT(cad_limites_ok),"Pendente",IF(K104=3,"A",IF(Q104&gt;=cad_limite_a,"A",IF(Q104&gt;=cad_limite_b,"B","C"))))))</f>
        <v/>
      </c>
      <c r="S104" s="40">
        <f>IF(P104="","",IF(A104="","Pendente: falta o ID do ativo",IF(COUNTIF(at_id,A104)&gt;1,"ERRO: ID do ativo duplicado",IF(COUNTA(K104:O104)&gt;P104,"Pendente: nota inválida (use inteiro de 1 a 3)",IF(P104&lt;5,"Pendente: falta(m) "&amp;(5-P104)&amp;" nota(s)",IF(NOT(cad_limites_ok),"Pendente: corrija os limites A/B em Critérios",IF(K104=3,"A por Segurança = 3","Classe pela soma e limites")))))))</f>
        <v/>
      </c>
    </row>
    <row r="105">
      <c r="A105" s="36" t="n"/>
      <c r="B105" s="36" t="n"/>
      <c r="C105" s="37" t="n"/>
      <c r="D105" s="36" t="n"/>
      <c r="E105" s="38">
        <f>IF(D105="","",IFERROR(INDEX(lst_tipo_nome,MATCH(D105,lst_tipo_id,0)),"Tipo não cadastrado em Listas"))</f>
        <v/>
      </c>
      <c r="F105" s="36" t="n"/>
      <c r="G105" s="36" t="n"/>
      <c r="H105" s="36" t="n"/>
      <c r="I105" s="39" t="n"/>
      <c r="J105" s="38">
        <f>IF(OR(B105="",D105="",H105="",I105=""),"",IF(B105=H105&amp;"-"&amp;IFERROR(INDEX(lst_tipo_sigla,MATCH(D105,lst_tipo_id,0)),"???")&amp;"-"&amp;RIGHT("00"&amp;I105,3),"OK","Verificar: TAG difere de setor-sigla-número"))</f>
        <v/>
      </c>
      <c r="K105" s="39" t="n"/>
      <c r="L105" s="39" t="n"/>
      <c r="M105" s="39" t="n"/>
      <c r="N105" s="39" t="n"/>
      <c r="O105" s="39" t="n"/>
      <c r="P105" s="38">
        <f>IF(COUNTA(A105:D105)+COUNTA(F105:I105)+COUNTA(K105:O105)=0,"",IF(ISNUMBER(K105),AND(K105=INT(K105),K105&gt;=1,K105&lt;=3),FALSE)+IF(ISNUMBER(L105),AND(L105=INT(L105),L105&gt;=1,L105&lt;=3),FALSE)+IF(ISNUMBER(M105),AND(M105=INT(M105),M105&gt;=1,M105&lt;=3),FALSE)+IF(ISNUMBER(N105),AND(N105=INT(N105),N105&gt;=1,N105&lt;=3),FALSE)+IF(ISNUMBER(O105),AND(O105=INT(O105),O105&gt;=1,O105&lt;=3),FALSE))</f>
        <v/>
      </c>
      <c r="Q105" s="38">
        <f>IF(P105=5,SUM(K105:O105),"")</f>
        <v/>
      </c>
      <c r="R105" s="38">
        <f>IF(P105="","",IF(P105&lt;5,"Pendente",IF(NOT(cad_limites_ok),"Pendente",IF(K105=3,"A",IF(Q105&gt;=cad_limite_a,"A",IF(Q105&gt;=cad_limite_b,"B","C"))))))</f>
        <v/>
      </c>
      <c r="S105" s="40">
        <f>IF(P105="","",IF(A105="","Pendente: falta o ID do ativo",IF(COUNTIF(at_id,A105)&gt;1,"ERRO: ID do ativo duplicado",IF(COUNTA(K105:O105)&gt;P105,"Pendente: nota inválida (use inteiro de 1 a 3)",IF(P105&lt;5,"Pendente: falta(m) "&amp;(5-P105)&amp;" nota(s)",IF(NOT(cad_limites_ok),"Pendente: corrija os limites A/B em Critérios",IF(K105=3,"A por Segurança = 3","Classe pela soma e limites")))))))</f>
        <v/>
      </c>
    </row>
    <row r="106">
      <c r="A106" s="36" t="n"/>
      <c r="B106" s="36" t="n"/>
      <c r="C106" s="37" t="n"/>
      <c r="D106" s="36" t="n"/>
      <c r="E106" s="38">
        <f>IF(D106="","",IFERROR(INDEX(lst_tipo_nome,MATCH(D106,lst_tipo_id,0)),"Tipo não cadastrado em Listas"))</f>
        <v/>
      </c>
      <c r="F106" s="36" t="n"/>
      <c r="G106" s="36" t="n"/>
      <c r="H106" s="36" t="n"/>
      <c r="I106" s="39" t="n"/>
      <c r="J106" s="38">
        <f>IF(OR(B106="",D106="",H106="",I106=""),"",IF(B106=H106&amp;"-"&amp;IFERROR(INDEX(lst_tipo_sigla,MATCH(D106,lst_tipo_id,0)),"???")&amp;"-"&amp;RIGHT("00"&amp;I106,3),"OK","Verificar: TAG difere de setor-sigla-número"))</f>
        <v/>
      </c>
      <c r="K106" s="39" t="n"/>
      <c r="L106" s="39" t="n"/>
      <c r="M106" s="39" t="n"/>
      <c r="N106" s="39" t="n"/>
      <c r="O106" s="39" t="n"/>
      <c r="P106" s="38">
        <f>IF(COUNTA(A106:D106)+COUNTA(F106:I106)+COUNTA(K106:O106)=0,"",IF(ISNUMBER(K106),AND(K106=INT(K106),K106&gt;=1,K106&lt;=3),FALSE)+IF(ISNUMBER(L106),AND(L106=INT(L106),L106&gt;=1,L106&lt;=3),FALSE)+IF(ISNUMBER(M106),AND(M106=INT(M106),M106&gt;=1,M106&lt;=3),FALSE)+IF(ISNUMBER(N106),AND(N106=INT(N106),N106&gt;=1,N106&lt;=3),FALSE)+IF(ISNUMBER(O106),AND(O106=INT(O106),O106&gt;=1,O106&lt;=3),FALSE))</f>
        <v/>
      </c>
      <c r="Q106" s="38">
        <f>IF(P106=5,SUM(K106:O106),"")</f>
        <v/>
      </c>
      <c r="R106" s="38">
        <f>IF(P106="","",IF(P106&lt;5,"Pendente",IF(NOT(cad_limites_ok),"Pendente",IF(K106=3,"A",IF(Q106&gt;=cad_limite_a,"A",IF(Q106&gt;=cad_limite_b,"B","C"))))))</f>
        <v/>
      </c>
      <c r="S106" s="40">
        <f>IF(P106="","",IF(A106="","Pendente: falta o ID do ativo",IF(COUNTIF(at_id,A106)&gt;1,"ERRO: ID do ativo duplicado",IF(COUNTA(K106:O106)&gt;P106,"Pendente: nota inválida (use inteiro de 1 a 3)",IF(P106&lt;5,"Pendente: falta(m) "&amp;(5-P106)&amp;" nota(s)",IF(NOT(cad_limites_ok),"Pendente: corrija os limites A/B em Critérios",IF(K106=3,"A por Segurança = 3","Classe pela soma e limites")))))))</f>
        <v/>
      </c>
    </row>
    <row r="107">
      <c r="A107" s="36" t="n"/>
      <c r="B107" s="36" t="n"/>
      <c r="C107" s="37" t="n"/>
      <c r="D107" s="36" t="n"/>
      <c r="E107" s="38">
        <f>IF(D107="","",IFERROR(INDEX(lst_tipo_nome,MATCH(D107,lst_tipo_id,0)),"Tipo não cadastrado em Listas"))</f>
        <v/>
      </c>
      <c r="F107" s="36" t="n"/>
      <c r="G107" s="36" t="n"/>
      <c r="H107" s="36" t="n"/>
      <c r="I107" s="39" t="n"/>
      <c r="J107" s="38">
        <f>IF(OR(B107="",D107="",H107="",I107=""),"",IF(B107=H107&amp;"-"&amp;IFERROR(INDEX(lst_tipo_sigla,MATCH(D107,lst_tipo_id,0)),"???")&amp;"-"&amp;RIGHT("00"&amp;I107,3),"OK","Verificar: TAG difere de setor-sigla-número"))</f>
        <v/>
      </c>
      <c r="K107" s="39" t="n"/>
      <c r="L107" s="39" t="n"/>
      <c r="M107" s="39" t="n"/>
      <c r="N107" s="39" t="n"/>
      <c r="O107" s="39" t="n"/>
      <c r="P107" s="38">
        <f>IF(COUNTA(A107:D107)+COUNTA(F107:I107)+COUNTA(K107:O107)=0,"",IF(ISNUMBER(K107),AND(K107=INT(K107),K107&gt;=1,K107&lt;=3),FALSE)+IF(ISNUMBER(L107),AND(L107=INT(L107),L107&gt;=1,L107&lt;=3),FALSE)+IF(ISNUMBER(M107),AND(M107=INT(M107),M107&gt;=1,M107&lt;=3),FALSE)+IF(ISNUMBER(N107),AND(N107=INT(N107),N107&gt;=1,N107&lt;=3),FALSE)+IF(ISNUMBER(O107),AND(O107=INT(O107),O107&gt;=1,O107&lt;=3),FALSE))</f>
        <v/>
      </c>
      <c r="Q107" s="38">
        <f>IF(P107=5,SUM(K107:O107),"")</f>
        <v/>
      </c>
      <c r="R107" s="38">
        <f>IF(P107="","",IF(P107&lt;5,"Pendente",IF(NOT(cad_limites_ok),"Pendente",IF(K107=3,"A",IF(Q107&gt;=cad_limite_a,"A",IF(Q107&gt;=cad_limite_b,"B","C"))))))</f>
        <v/>
      </c>
      <c r="S107" s="40">
        <f>IF(P107="","",IF(A107="","Pendente: falta o ID do ativo",IF(COUNTIF(at_id,A107)&gt;1,"ERRO: ID do ativo duplicado",IF(COUNTA(K107:O107)&gt;P107,"Pendente: nota inválida (use inteiro de 1 a 3)",IF(P107&lt;5,"Pendente: falta(m) "&amp;(5-P107)&amp;" nota(s)",IF(NOT(cad_limites_ok),"Pendente: corrija os limites A/B em Critérios",IF(K107=3,"A por Segurança = 3","Classe pela soma e limites")))))))</f>
        <v/>
      </c>
    </row>
    <row r="108">
      <c r="A108" s="36" t="n"/>
      <c r="B108" s="36" t="n"/>
      <c r="C108" s="37" t="n"/>
      <c r="D108" s="36" t="n"/>
      <c r="E108" s="38">
        <f>IF(D108="","",IFERROR(INDEX(lst_tipo_nome,MATCH(D108,lst_tipo_id,0)),"Tipo não cadastrado em Listas"))</f>
        <v/>
      </c>
      <c r="F108" s="36" t="n"/>
      <c r="G108" s="36" t="n"/>
      <c r="H108" s="36" t="n"/>
      <c r="I108" s="39" t="n"/>
      <c r="J108" s="38">
        <f>IF(OR(B108="",D108="",H108="",I108=""),"",IF(B108=H108&amp;"-"&amp;IFERROR(INDEX(lst_tipo_sigla,MATCH(D108,lst_tipo_id,0)),"???")&amp;"-"&amp;RIGHT("00"&amp;I108,3),"OK","Verificar: TAG difere de setor-sigla-número"))</f>
        <v/>
      </c>
      <c r="K108" s="39" t="n"/>
      <c r="L108" s="39" t="n"/>
      <c r="M108" s="39" t="n"/>
      <c r="N108" s="39" t="n"/>
      <c r="O108" s="39" t="n"/>
      <c r="P108" s="38">
        <f>IF(COUNTA(A108:D108)+COUNTA(F108:I108)+COUNTA(K108:O108)=0,"",IF(ISNUMBER(K108),AND(K108=INT(K108),K108&gt;=1,K108&lt;=3),FALSE)+IF(ISNUMBER(L108),AND(L108=INT(L108),L108&gt;=1,L108&lt;=3),FALSE)+IF(ISNUMBER(M108),AND(M108=INT(M108),M108&gt;=1,M108&lt;=3),FALSE)+IF(ISNUMBER(N108),AND(N108=INT(N108),N108&gt;=1,N108&lt;=3),FALSE)+IF(ISNUMBER(O108),AND(O108=INT(O108),O108&gt;=1,O108&lt;=3),FALSE))</f>
        <v/>
      </c>
      <c r="Q108" s="38">
        <f>IF(P108=5,SUM(K108:O108),"")</f>
        <v/>
      </c>
      <c r="R108" s="38">
        <f>IF(P108="","",IF(P108&lt;5,"Pendente",IF(NOT(cad_limites_ok),"Pendente",IF(K108=3,"A",IF(Q108&gt;=cad_limite_a,"A",IF(Q108&gt;=cad_limite_b,"B","C"))))))</f>
        <v/>
      </c>
      <c r="S108" s="40">
        <f>IF(P108="","",IF(A108="","Pendente: falta o ID do ativo",IF(COUNTIF(at_id,A108)&gt;1,"ERRO: ID do ativo duplicado",IF(COUNTA(K108:O108)&gt;P108,"Pendente: nota inválida (use inteiro de 1 a 3)",IF(P108&lt;5,"Pendente: falta(m) "&amp;(5-P108)&amp;" nota(s)",IF(NOT(cad_limites_ok),"Pendente: corrija os limites A/B em Critérios",IF(K108=3,"A por Segurança = 3","Classe pela soma e limites")))))))</f>
        <v/>
      </c>
    </row>
    <row r="109">
      <c r="A109" s="36" t="n"/>
      <c r="B109" s="36" t="n"/>
      <c r="C109" s="37" t="n"/>
      <c r="D109" s="36" t="n"/>
      <c r="E109" s="38">
        <f>IF(D109="","",IFERROR(INDEX(lst_tipo_nome,MATCH(D109,lst_tipo_id,0)),"Tipo não cadastrado em Listas"))</f>
        <v/>
      </c>
      <c r="F109" s="36" t="n"/>
      <c r="G109" s="36" t="n"/>
      <c r="H109" s="36" t="n"/>
      <c r="I109" s="39" t="n"/>
      <c r="J109" s="38">
        <f>IF(OR(B109="",D109="",H109="",I109=""),"",IF(B109=H109&amp;"-"&amp;IFERROR(INDEX(lst_tipo_sigla,MATCH(D109,lst_tipo_id,0)),"???")&amp;"-"&amp;RIGHT("00"&amp;I109,3),"OK","Verificar: TAG difere de setor-sigla-número"))</f>
        <v/>
      </c>
      <c r="K109" s="39" t="n"/>
      <c r="L109" s="39" t="n"/>
      <c r="M109" s="39" t="n"/>
      <c r="N109" s="39" t="n"/>
      <c r="O109" s="39" t="n"/>
      <c r="P109" s="38">
        <f>IF(COUNTA(A109:D109)+COUNTA(F109:I109)+COUNTA(K109:O109)=0,"",IF(ISNUMBER(K109),AND(K109=INT(K109),K109&gt;=1,K109&lt;=3),FALSE)+IF(ISNUMBER(L109),AND(L109=INT(L109),L109&gt;=1,L109&lt;=3),FALSE)+IF(ISNUMBER(M109),AND(M109=INT(M109),M109&gt;=1,M109&lt;=3),FALSE)+IF(ISNUMBER(N109),AND(N109=INT(N109),N109&gt;=1,N109&lt;=3),FALSE)+IF(ISNUMBER(O109),AND(O109=INT(O109),O109&gt;=1,O109&lt;=3),FALSE))</f>
        <v/>
      </c>
      <c r="Q109" s="38">
        <f>IF(P109=5,SUM(K109:O109),"")</f>
        <v/>
      </c>
      <c r="R109" s="38">
        <f>IF(P109="","",IF(P109&lt;5,"Pendente",IF(NOT(cad_limites_ok),"Pendente",IF(K109=3,"A",IF(Q109&gt;=cad_limite_a,"A",IF(Q109&gt;=cad_limite_b,"B","C"))))))</f>
        <v/>
      </c>
      <c r="S109" s="40">
        <f>IF(P109="","",IF(A109="","Pendente: falta o ID do ativo",IF(COUNTIF(at_id,A109)&gt;1,"ERRO: ID do ativo duplicado",IF(COUNTA(K109:O109)&gt;P109,"Pendente: nota inválida (use inteiro de 1 a 3)",IF(P109&lt;5,"Pendente: falta(m) "&amp;(5-P109)&amp;" nota(s)",IF(NOT(cad_limites_ok),"Pendente: corrija os limites A/B em Critérios",IF(K109=3,"A por Segurança = 3","Classe pela soma e limites")))))))</f>
        <v/>
      </c>
    </row>
    <row r="110">
      <c r="A110" s="36" t="n"/>
      <c r="B110" s="36" t="n"/>
      <c r="C110" s="37" t="n"/>
      <c r="D110" s="36" t="n"/>
      <c r="E110" s="38">
        <f>IF(D110="","",IFERROR(INDEX(lst_tipo_nome,MATCH(D110,lst_tipo_id,0)),"Tipo não cadastrado em Listas"))</f>
        <v/>
      </c>
      <c r="F110" s="36" t="n"/>
      <c r="G110" s="36" t="n"/>
      <c r="H110" s="36" t="n"/>
      <c r="I110" s="39" t="n"/>
      <c r="J110" s="38">
        <f>IF(OR(B110="",D110="",H110="",I110=""),"",IF(B110=H110&amp;"-"&amp;IFERROR(INDEX(lst_tipo_sigla,MATCH(D110,lst_tipo_id,0)),"???")&amp;"-"&amp;RIGHT("00"&amp;I110,3),"OK","Verificar: TAG difere de setor-sigla-número"))</f>
        <v/>
      </c>
      <c r="K110" s="39" t="n"/>
      <c r="L110" s="39" t="n"/>
      <c r="M110" s="39" t="n"/>
      <c r="N110" s="39" t="n"/>
      <c r="O110" s="39" t="n"/>
      <c r="P110" s="38">
        <f>IF(COUNTA(A110:D110)+COUNTA(F110:I110)+COUNTA(K110:O110)=0,"",IF(ISNUMBER(K110),AND(K110=INT(K110),K110&gt;=1,K110&lt;=3),FALSE)+IF(ISNUMBER(L110),AND(L110=INT(L110),L110&gt;=1,L110&lt;=3),FALSE)+IF(ISNUMBER(M110),AND(M110=INT(M110),M110&gt;=1,M110&lt;=3),FALSE)+IF(ISNUMBER(N110),AND(N110=INT(N110),N110&gt;=1,N110&lt;=3),FALSE)+IF(ISNUMBER(O110),AND(O110=INT(O110),O110&gt;=1,O110&lt;=3),FALSE))</f>
        <v/>
      </c>
      <c r="Q110" s="38">
        <f>IF(P110=5,SUM(K110:O110),"")</f>
        <v/>
      </c>
      <c r="R110" s="38">
        <f>IF(P110="","",IF(P110&lt;5,"Pendente",IF(NOT(cad_limites_ok),"Pendente",IF(K110=3,"A",IF(Q110&gt;=cad_limite_a,"A",IF(Q110&gt;=cad_limite_b,"B","C"))))))</f>
        <v/>
      </c>
      <c r="S110" s="40">
        <f>IF(P110="","",IF(A110="","Pendente: falta o ID do ativo",IF(COUNTIF(at_id,A110)&gt;1,"ERRO: ID do ativo duplicado",IF(COUNTA(K110:O110)&gt;P110,"Pendente: nota inválida (use inteiro de 1 a 3)",IF(P110&lt;5,"Pendente: falta(m) "&amp;(5-P110)&amp;" nota(s)",IF(NOT(cad_limites_ok),"Pendente: corrija os limites A/B em Critérios",IF(K110=3,"A por Segurança = 3","Classe pela soma e limites")))))))</f>
        <v/>
      </c>
    </row>
    <row r="111">
      <c r="A111" s="36" t="n"/>
      <c r="B111" s="36" t="n"/>
      <c r="C111" s="37" t="n"/>
      <c r="D111" s="36" t="n"/>
      <c r="E111" s="38">
        <f>IF(D111="","",IFERROR(INDEX(lst_tipo_nome,MATCH(D111,lst_tipo_id,0)),"Tipo não cadastrado em Listas"))</f>
        <v/>
      </c>
      <c r="F111" s="36" t="n"/>
      <c r="G111" s="36" t="n"/>
      <c r="H111" s="36" t="n"/>
      <c r="I111" s="39" t="n"/>
      <c r="J111" s="38">
        <f>IF(OR(B111="",D111="",H111="",I111=""),"",IF(B111=H111&amp;"-"&amp;IFERROR(INDEX(lst_tipo_sigla,MATCH(D111,lst_tipo_id,0)),"???")&amp;"-"&amp;RIGHT("00"&amp;I111,3),"OK","Verificar: TAG difere de setor-sigla-número"))</f>
        <v/>
      </c>
      <c r="K111" s="39" t="n"/>
      <c r="L111" s="39" t="n"/>
      <c r="M111" s="39" t="n"/>
      <c r="N111" s="39" t="n"/>
      <c r="O111" s="39" t="n"/>
      <c r="P111" s="38">
        <f>IF(COUNTA(A111:D111)+COUNTA(F111:I111)+COUNTA(K111:O111)=0,"",IF(ISNUMBER(K111),AND(K111=INT(K111),K111&gt;=1,K111&lt;=3),FALSE)+IF(ISNUMBER(L111),AND(L111=INT(L111),L111&gt;=1,L111&lt;=3),FALSE)+IF(ISNUMBER(M111),AND(M111=INT(M111),M111&gt;=1,M111&lt;=3),FALSE)+IF(ISNUMBER(N111),AND(N111=INT(N111),N111&gt;=1,N111&lt;=3),FALSE)+IF(ISNUMBER(O111),AND(O111=INT(O111),O111&gt;=1,O111&lt;=3),FALSE))</f>
        <v/>
      </c>
      <c r="Q111" s="38">
        <f>IF(P111=5,SUM(K111:O111),"")</f>
        <v/>
      </c>
      <c r="R111" s="38">
        <f>IF(P111="","",IF(P111&lt;5,"Pendente",IF(NOT(cad_limites_ok),"Pendente",IF(K111=3,"A",IF(Q111&gt;=cad_limite_a,"A",IF(Q111&gt;=cad_limite_b,"B","C"))))))</f>
        <v/>
      </c>
      <c r="S111" s="40">
        <f>IF(P111="","",IF(A111="","Pendente: falta o ID do ativo",IF(COUNTIF(at_id,A111)&gt;1,"ERRO: ID do ativo duplicado",IF(COUNTA(K111:O111)&gt;P111,"Pendente: nota inválida (use inteiro de 1 a 3)",IF(P111&lt;5,"Pendente: falta(m) "&amp;(5-P111)&amp;" nota(s)",IF(NOT(cad_limites_ok),"Pendente: corrija os limites A/B em Critérios",IF(K111=3,"A por Segurança = 3","Classe pela soma e limites")))))))</f>
        <v/>
      </c>
    </row>
    <row r="112">
      <c r="A112" s="36" t="n"/>
      <c r="B112" s="36" t="n"/>
      <c r="C112" s="37" t="n"/>
      <c r="D112" s="36" t="n"/>
      <c r="E112" s="38">
        <f>IF(D112="","",IFERROR(INDEX(lst_tipo_nome,MATCH(D112,lst_tipo_id,0)),"Tipo não cadastrado em Listas"))</f>
        <v/>
      </c>
      <c r="F112" s="36" t="n"/>
      <c r="G112" s="36" t="n"/>
      <c r="H112" s="36" t="n"/>
      <c r="I112" s="39" t="n"/>
      <c r="J112" s="38">
        <f>IF(OR(B112="",D112="",H112="",I112=""),"",IF(B112=H112&amp;"-"&amp;IFERROR(INDEX(lst_tipo_sigla,MATCH(D112,lst_tipo_id,0)),"???")&amp;"-"&amp;RIGHT("00"&amp;I112,3),"OK","Verificar: TAG difere de setor-sigla-número"))</f>
        <v/>
      </c>
      <c r="K112" s="39" t="n"/>
      <c r="L112" s="39" t="n"/>
      <c r="M112" s="39" t="n"/>
      <c r="N112" s="39" t="n"/>
      <c r="O112" s="39" t="n"/>
      <c r="P112" s="38">
        <f>IF(COUNTA(A112:D112)+COUNTA(F112:I112)+COUNTA(K112:O112)=0,"",IF(ISNUMBER(K112),AND(K112=INT(K112),K112&gt;=1,K112&lt;=3),FALSE)+IF(ISNUMBER(L112),AND(L112=INT(L112),L112&gt;=1,L112&lt;=3),FALSE)+IF(ISNUMBER(M112),AND(M112=INT(M112),M112&gt;=1,M112&lt;=3),FALSE)+IF(ISNUMBER(N112),AND(N112=INT(N112),N112&gt;=1,N112&lt;=3),FALSE)+IF(ISNUMBER(O112),AND(O112=INT(O112),O112&gt;=1,O112&lt;=3),FALSE))</f>
        <v/>
      </c>
      <c r="Q112" s="38">
        <f>IF(P112=5,SUM(K112:O112),"")</f>
        <v/>
      </c>
      <c r="R112" s="38">
        <f>IF(P112="","",IF(P112&lt;5,"Pendente",IF(NOT(cad_limites_ok),"Pendente",IF(K112=3,"A",IF(Q112&gt;=cad_limite_a,"A",IF(Q112&gt;=cad_limite_b,"B","C"))))))</f>
        <v/>
      </c>
      <c r="S112" s="40">
        <f>IF(P112="","",IF(A112="","Pendente: falta o ID do ativo",IF(COUNTIF(at_id,A112)&gt;1,"ERRO: ID do ativo duplicado",IF(COUNTA(K112:O112)&gt;P112,"Pendente: nota inválida (use inteiro de 1 a 3)",IF(P112&lt;5,"Pendente: falta(m) "&amp;(5-P112)&amp;" nota(s)",IF(NOT(cad_limites_ok),"Pendente: corrija os limites A/B em Critérios",IF(K112=3,"A por Segurança = 3","Classe pela soma e limites")))))))</f>
        <v/>
      </c>
    </row>
    <row r="113">
      <c r="A113" s="36" t="n"/>
      <c r="B113" s="36" t="n"/>
      <c r="C113" s="37" t="n"/>
      <c r="D113" s="36" t="n"/>
      <c r="E113" s="38">
        <f>IF(D113="","",IFERROR(INDEX(lst_tipo_nome,MATCH(D113,lst_tipo_id,0)),"Tipo não cadastrado em Listas"))</f>
        <v/>
      </c>
      <c r="F113" s="36" t="n"/>
      <c r="G113" s="36" t="n"/>
      <c r="H113" s="36" t="n"/>
      <c r="I113" s="39" t="n"/>
      <c r="J113" s="38">
        <f>IF(OR(B113="",D113="",H113="",I113=""),"",IF(B113=H113&amp;"-"&amp;IFERROR(INDEX(lst_tipo_sigla,MATCH(D113,lst_tipo_id,0)),"???")&amp;"-"&amp;RIGHT("00"&amp;I113,3),"OK","Verificar: TAG difere de setor-sigla-número"))</f>
        <v/>
      </c>
      <c r="K113" s="39" t="n"/>
      <c r="L113" s="39" t="n"/>
      <c r="M113" s="39" t="n"/>
      <c r="N113" s="39" t="n"/>
      <c r="O113" s="39" t="n"/>
      <c r="P113" s="38">
        <f>IF(COUNTA(A113:D113)+COUNTA(F113:I113)+COUNTA(K113:O113)=0,"",IF(ISNUMBER(K113),AND(K113=INT(K113),K113&gt;=1,K113&lt;=3),FALSE)+IF(ISNUMBER(L113),AND(L113=INT(L113),L113&gt;=1,L113&lt;=3),FALSE)+IF(ISNUMBER(M113),AND(M113=INT(M113),M113&gt;=1,M113&lt;=3),FALSE)+IF(ISNUMBER(N113),AND(N113=INT(N113),N113&gt;=1,N113&lt;=3),FALSE)+IF(ISNUMBER(O113),AND(O113=INT(O113),O113&gt;=1,O113&lt;=3),FALSE))</f>
        <v/>
      </c>
      <c r="Q113" s="38">
        <f>IF(P113=5,SUM(K113:O113),"")</f>
        <v/>
      </c>
      <c r="R113" s="38">
        <f>IF(P113="","",IF(P113&lt;5,"Pendente",IF(NOT(cad_limites_ok),"Pendente",IF(K113=3,"A",IF(Q113&gt;=cad_limite_a,"A",IF(Q113&gt;=cad_limite_b,"B","C"))))))</f>
        <v/>
      </c>
      <c r="S113" s="40">
        <f>IF(P113="","",IF(A113="","Pendente: falta o ID do ativo",IF(COUNTIF(at_id,A113)&gt;1,"ERRO: ID do ativo duplicado",IF(COUNTA(K113:O113)&gt;P113,"Pendente: nota inválida (use inteiro de 1 a 3)",IF(P113&lt;5,"Pendente: falta(m) "&amp;(5-P113)&amp;" nota(s)",IF(NOT(cad_limites_ok),"Pendente: corrija os limites A/B em Critérios",IF(K113=3,"A por Segurança = 3","Classe pela soma e limites")))))))</f>
        <v/>
      </c>
    </row>
    <row r="114">
      <c r="A114" s="36" t="n"/>
      <c r="B114" s="36" t="n"/>
      <c r="C114" s="37" t="n"/>
      <c r="D114" s="36" t="n"/>
      <c r="E114" s="38">
        <f>IF(D114="","",IFERROR(INDEX(lst_tipo_nome,MATCH(D114,lst_tipo_id,0)),"Tipo não cadastrado em Listas"))</f>
        <v/>
      </c>
      <c r="F114" s="36" t="n"/>
      <c r="G114" s="36" t="n"/>
      <c r="H114" s="36" t="n"/>
      <c r="I114" s="39" t="n"/>
      <c r="J114" s="38">
        <f>IF(OR(B114="",D114="",H114="",I114=""),"",IF(B114=H114&amp;"-"&amp;IFERROR(INDEX(lst_tipo_sigla,MATCH(D114,lst_tipo_id,0)),"???")&amp;"-"&amp;RIGHT("00"&amp;I114,3),"OK","Verificar: TAG difere de setor-sigla-número"))</f>
        <v/>
      </c>
      <c r="K114" s="39" t="n"/>
      <c r="L114" s="39" t="n"/>
      <c r="M114" s="39" t="n"/>
      <c r="N114" s="39" t="n"/>
      <c r="O114" s="39" t="n"/>
      <c r="P114" s="38">
        <f>IF(COUNTA(A114:D114)+COUNTA(F114:I114)+COUNTA(K114:O114)=0,"",IF(ISNUMBER(K114),AND(K114=INT(K114),K114&gt;=1,K114&lt;=3),FALSE)+IF(ISNUMBER(L114),AND(L114=INT(L114),L114&gt;=1,L114&lt;=3),FALSE)+IF(ISNUMBER(M114),AND(M114=INT(M114),M114&gt;=1,M114&lt;=3),FALSE)+IF(ISNUMBER(N114),AND(N114=INT(N114),N114&gt;=1,N114&lt;=3),FALSE)+IF(ISNUMBER(O114),AND(O114=INT(O114),O114&gt;=1,O114&lt;=3),FALSE))</f>
        <v/>
      </c>
      <c r="Q114" s="38">
        <f>IF(P114=5,SUM(K114:O114),"")</f>
        <v/>
      </c>
      <c r="R114" s="38">
        <f>IF(P114="","",IF(P114&lt;5,"Pendente",IF(NOT(cad_limites_ok),"Pendente",IF(K114=3,"A",IF(Q114&gt;=cad_limite_a,"A",IF(Q114&gt;=cad_limite_b,"B","C"))))))</f>
        <v/>
      </c>
      <c r="S114" s="40">
        <f>IF(P114="","",IF(A114="","Pendente: falta o ID do ativo",IF(COUNTIF(at_id,A114)&gt;1,"ERRO: ID do ativo duplicado",IF(COUNTA(K114:O114)&gt;P114,"Pendente: nota inválida (use inteiro de 1 a 3)",IF(P114&lt;5,"Pendente: falta(m) "&amp;(5-P114)&amp;" nota(s)",IF(NOT(cad_limites_ok),"Pendente: corrija os limites A/B em Critérios",IF(K114=3,"A por Segurança = 3","Classe pela soma e limites")))))))</f>
        <v/>
      </c>
    </row>
    <row r="115">
      <c r="A115" s="36" t="n"/>
      <c r="B115" s="36" t="n"/>
      <c r="C115" s="37" t="n"/>
      <c r="D115" s="36" t="n"/>
      <c r="E115" s="38">
        <f>IF(D115="","",IFERROR(INDEX(lst_tipo_nome,MATCH(D115,lst_tipo_id,0)),"Tipo não cadastrado em Listas"))</f>
        <v/>
      </c>
      <c r="F115" s="36" t="n"/>
      <c r="G115" s="36" t="n"/>
      <c r="H115" s="36" t="n"/>
      <c r="I115" s="39" t="n"/>
      <c r="J115" s="38">
        <f>IF(OR(B115="",D115="",H115="",I115=""),"",IF(B115=H115&amp;"-"&amp;IFERROR(INDEX(lst_tipo_sigla,MATCH(D115,lst_tipo_id,0)),"???")&amp;"-"&amp;RIGHT("00"&amp;I115,3),"OK","Verificar: TAG difere de setor-sigla-número"))</f>
        <v/>
      </c>
      <c r="K115" s="39" t="n"/>
      <c r="L115" s="39" t="n"/>
      <c r="M115" s="39" t="n"/>
      <c r="N115" s="39" t="n"/>
      <c r="O115" s="39" t="n"/>
      <c r="P115" s="38">
        <f>IF(COUNTA(A115:D115)+COUNTA(F115:I115)+COUNTA(K115:O115)=0,"",IF(ISNUMBER(K115),AND(K115=INT(K115),K115&gt;=1,K115&lt;=3),FALSE)+IF(ISNUMBER(L115),AND(L115=INT(L115),L115&gt;=1,L115&lt;=3),FALSE)+IF(ISNUMBER(M115),AND(M115=INT(M115),M115&gt;=1,M115&lt;=3),FALSE)+IF(ISNUMBER(N115),AND(N115=INT(N115),N115&gt;=1,N115&lt;=3),FALSE)+IF(ISNUMBER(O115),AND(O115=INT(O115),O115&gt;=1,O115&lt;=3),FALSE))</f>
        <v/>
      </c>
      <c r="Q115" s="38">
        <f>IF(P115=5,SUM(K115:O115),"")</f>
        <v/>
      </c>
      <c r="R115" s="38">
        <f>IF(P115="","",IF(P115&lt;5,"Pendente",IF(NOT(cad_limites_ok),"Pendente",IF(K115=3,"A",IF(Q115&gt;=cad_limite_a,"A",IF(Q115&gt;=cad_limite_b,"B","C"))))))</f>
        <v/>
      </c>
      <c r="S115" s="40">
        <f>IF(P115="","",IF(A115="","Pendente: falta o ID do ativo",IF(COUNTIF(at_id,A115)&gt;1,"ERRO: ID do ativo duplicado",IF(COUNTA(K115:O115)&gt;P115,"Pendente: nota inválida (use inteiro de 1 a 3)",IF(P115&lt;5,"Pendente: falta(m) "&amp;(5-P115)&amp;" nota(s)",IF(NOT(cad_limites_ok),"Pendente: corrija os limites A/B em Critérios",IF(K115=3,"A por Segurança = 3","Classe pela soma e limites")))))))</f>
        <v/>
      </c>
    </row>
    <row r="116">
      <c r="A116" s="36" t="n"/>
      <c r="B116" s="36" t="n"/>
      <c r="C116" s="37" t="n"/>
      <c r="D116" s="36" t="n"/>
      <c r="E116" s="38">
        <f>IF(D116="","",IFERROR(INDEX(lst_tipo_nome,MATCH(D116,lst_tipo_id,0)),"Tipo não cadastrado em Listas"))</f>
        <v/>
      </c>
      <c r="F116" s="36" t="n"/>
      <c r="G116" s="36" t="n"/>
      <c r="H116" s="36" t="n"/>
      <c r="I116" s="39" t="n"/>
      <c r="J116" s="38">
        <f>IF(OR(B116="",D116="",H116="",I116=""),"",IF(B116=H116&amp;"-"&amp;IFERROR(INDEX(lst_tipo_sigla,MATCH(D116,lst_tipo_id,0)),"???")&amp;"-"&amp;RIGHT("00"&amp;I116,3),"OK","Verificar: TAG difere de setor-sigla-número"))</f>
        <v/>
      </c>
      <c r="K116" s="39" t="n"/>
      <c r="L116" s="39" t="n"/>
      <c r="M116" s="39" t="n"/>
      <c r="N116" s="39" t="n"/>
      <c r="O116" s="39" t="n"/>
      <c r="P116" s="38">
        <f>IF(COUNTA(A116:D116)+COUNTA(F116:I116)+COUNTA(K116:O116)=0,"",IF(ISNUMBER(K116),AND(K116=INT(K116),K116&gt;=1,K116&lt;=3),FALSE)+IF(ISNUMBER(L116),AND(L116=INT(L116),L116&gt;=1,L116&lt;=3),FALSE)+IF(ISNUMBER(M116),AND(M116=INT(M116),M116&gt;=1,M116&lt;=3),FALSE)+IF(ISNUMBER(N116),AND(N116=INT(N116),N116&gt;=1,N116&lt;=3),FALSE)+IF(ISNUMBER(O116),AND(O116=INT(O116),O116&gt;=1,O116&lt;=3),FALSE))</f>
        <v/>
      </c>
      <c r="Q116" s="38">
        <f>IF(P116=5,SUM(K116:O116),"")</f>
        <v/>
      </c>
      <c r="R116" s="38">
        <f>IF(P116="","",IF(P116&lt;5,"Pendente",IF(NOT(cad_limites_ok),"Pendente",IF(K116=3,"A",IF(Q116&gt;=cad_limite_a,"A",IF(Q116&gt;=cad_limite_b,"B","C"))))))</f>
        <v/>
      </c>
      <c r="S116" s="40">
        <f>IF(P116="","",IF(A116="","Pendente: falta o ID do ativo",IF(COUNTIF(at_id,A116)&gt;1,"ERRO: ID do ativo duplicado",IF(COUNTA(K116:O116)&gt;P116,"Pendente: nota inválida (use inteiro de 1 a 3)",IF(P116&lt;5,"Pendente: falta(m) "&amp;(5-P116)&amp;" nota(s)",IF(NOT(cad_limites_ok),"Pendente: corrija os limites A/B em Critérios",IF(K116=3,"A por Segurança = 3","Classe pela soma e limites")))))))</f>
        <v/>
      </c>
    </row>
    <row r="117">
      <c r="A117" s="36" t="n"/>
      <c r="B117" s="36" t="n"/>
      <c r="C117" s="37" t="n"/>
      <c r="D117" s="36" t="n"/>
      <c r="E117" s="38">
        <f>IF(D117="","",IFERROR(INDEX(lst_tipo_nome,MATCH(D117,lst_tipo_id,0)),"Tipo não cadastrado em Listas"))</f>
        <v/>
      </c>
      <c r="F117" s="36" t="n"/>
      <c r="G117" s="36" t="n"/>
      <c r="H117" s="36" t="n"/>
      <c r="I117" s="39" t="n"/>
      <c r="J117" s="38">
        <f>IF(OR(B117="",D117="",H117="",I117=""),"",IF(B117=H117&amp;"-"&amp;IFERROR(INDEX(lst_tipo_sigla,MATCH(D117,lst_tipo_id,0)),"???")&amp;"-"&amp;RIGHT("00"&amp;I117,3),"OK","Verificar: TAG difere de setor-sigla-número"))</f>
        <v/>
      </c>
      <c r="K117" s="39" t="n"/>
      <c r="L117" s="39" t="n"/>
      <c r="M117" s="39" t="n"/>
      <c r="N117" s="39" t="n"/>
      <c r="O117" s="39" t="n"/>
      <c r="P117" s="38">
        <f>IF(COUNTA(A117:D117)+COUNTA(F117:I117)+COUNTA(K117:O117)=0,"",IF(ISNUMBER(K117),AND(K117=INT(K117),K117&gt;=1,K117&lt;=3),FALSE)+IF(ISNUMBER(L117),AND(L117=INT(L117),L117&gt;=1,L117&lt;=3),FALSE)+IF(ISNUMBER(M117),AND(M117=INT(M117),M117&gt;=1,M117&lt;=3),FALSE)+IF(ISNUMBER(N117),AND(N117=INT(N117),N117&gt;=1,N117&lt;=3),FALSE)+IF(ISNUMBER(O117),AND(O117=INT(O117),O117&gt;=1,O117&lt;=3),FALSE))</f>
        <v/>
      </c>
      <c r="Q117" s="38">
        <f>IF(P117=5,SUM(K117:O117),"")</f>
        <v/>
      </c>
      <c r="R117" s="38">
        <f>IF(P117="","",IF(P117&lt;5,"Pendente",IF(NOT(cad_limites_ok),"Pendente",IF(K117=3,"A",IF(Q117&gt;=cad_limite_a,"A",IF(Q117&gt;=cad_limite_b,"B","C"))))))</f>
        <v/>
      </c>
      <c r="S117" s="40">
        <f>IF(P117="","",IF(A117="","Pendente: falta o ID do ativo",IF(COUNTIF(at_id,A117)&gt;1,"ERRO: ID do ativo duplicado",IF(COUNTA(K117:O117)&gt;P117,"Pendente: nota inválida (use inteiro de 1 a 3)",IF(P117&lt;5,"Pendente: falta(m) "&amp;(5-P117)&amp;" nota(s)",IF(NOT(cad_limites_ok),"Pendente: corrija os limites A/B em Critérios",IF(K117=3,"A por Segurança = 3","Classe pela soma e limites")))))))</f>
        <v/>
      </c>
    </row>
    <row r="118">
      <c r="A118" s="36" t="n"/>
      <c r="B118" s="36" t="n"/>
      <c r="C118" s="37" t="n"/>
      <c r="D118" s="36" t="n"/>
      <c r="E118" s="38">
        <f>IF(D118="","",IFERROR(INDEX(lst_tipo_nome,MATCH(D118,lst_tipo_id,0)),"Tipo não cadastrado em Listas"))</f>
        <v/>
      </c>
      <c r="F118" s="36" t="n"/>
      <c r="G118" s="36" t="n"/>
      <c r="H118" s="36" t="n"/>
      <c r="I118" s="39" t="n"/>
      <c r="J118" s="38">
        <f>IF(OR(B118="",D118="",H118="",I118=""),"",IF(B118=H118&amp;"-"&amp;IFERROR(INDEX(lst_tipo_sigla,MATCH(D118,lst_tipo_id,0)),"???")&amp;"-"&amp;RIGHT("00"&amp;I118,3),"OK","Verificar: TAG difere de setor-sigla-número"))</f>
        <v/>
      </c>
      <c r="K118" s="39" t="n"/>
      <c r="L118" s="39" t="n"/>
      <c r="M118" s="39" t="n"/>
      <c r="N118" s="39" t="n"/>
      <c r="O118" s="39" t="n"/>
      <c r="P118" s="38">
        <f>IF(COUNTA(A118:D118)+COUNTA(F118:I118)+COUNTA(K118:O118)=0,"",IF(ISNUMBER(K118),AND(K118=INT(K118),K118&gt;=1,K118&lt;=3),FALSE)+IF(ISNUMBER(L118),AND(L118=INT(L118),L118&gt;=1,L118&lt;=3),FALSE)+IF(ISNUMBER(M118),AND(M118=INT(M118),M118&gt;=1,M118&lt;=3),FALSE)+IF(ISNUMBER(N118),AND(N118=INT(N118),N118&gt;=1,N118&lt;=3),FALSE)+IF(ISNUMBER(O118),AND(O118=INT(O118),O118&gt;=1,O118&lt;=3),FALSE))</f>
        <v/>
      </c>
      <c r="Q118" s="38">
        <f>IF(P118=5,SUM(K118:O118),"")</f>
        <v/>
      </c>
      <c r="R118" s="38">
        <f>IF(P118="","",IF(P118&lt;5,"Pendente",IF(NOT(cad_limites_ok),"Pendente",IF(K118=3,"A",IF(Q118&gt;=cad_limite_a,"A",IF(Q118&gt;=cad_limite_b,"B","C"))))))</f>
        <v/>
      </c>
      <c r="S118" s="40">
        <f>IF(P118="","",IF(A118="","Pendente: falta o ID do ativo",IF(COUNTIF(at_id,A118)&gt;1,"ERRO: ID do ativo duplicado",IF(COUNTA(K118:O118)&gt;P118,"Pendente: nota inválida (use inteiro de 1 a 3)",IF(P118&lt;5,"Pendente: falta(m) "&amp;(5-P118)&amp;" nota(s)",IF(NOT(cad_limites_ok),"Pendente: corrija os limites A/B em Critérios",IF(K118=3,"A por Segurança = 3","Classe pela soma e limites")))))))</f>
        <v/>
      </c>
    </row>
    <row r="119">
      <c r="A119" s="36" t="n"/>
      <c r="B119" s="36" t="n"/>
      <c r="C119" s="37" t="n"/>
      <c r="D119" s="36" t="n"/>
      <c r="E119" s="38">
        <f>IF(D119="","",IFERROR(INDEX(lst_tipo_nome,MATCH(D119,lst_tipo_id,0)),"Tipo não cadastrado em Listas"))</f>
        <v/>
      </c>
      <c r="F119" s="36" t="n"/>
      <c r="G119" s="36" t="n"/>
      <c r="H119" s="36" t="n"/>
      <c r="I119" s="39" t="n"/>
      <c r="J119" s="38">
        <f>IF(OR(B119="",D119="",H119="",I119=""),"",IF(B119=H119&amp;"-"&amp;IFERROR(INDEX(lst_tipo_sigla,MATCH(D119,lst_tipo_id,0)),"???")&amp;"-"&amp;RIGHT("00"&amp;I119,3),"OK","Verificar: TAG difere de setor-sigla-número"))</f>
        <v/>
      </c>
      <c r="K119" s="39" t="n"/>
      <c r="L119" s="39" t="n"/>
      <c r="M119" s="39" t="n"/>
      <c r="N119" s="39" t="n"/>
      <c r="O119" s="39" t="n"/>
      <c r="P119" s="38">
        <f>IF(COUNTA(A119:D119)+COUNTA(F119:I119)+COUNTA(K119:O119)=0,"",IF(ISNUMBER(K119),AND(K119=INT(K119),K119&gt;=1,K119&lt;=3),FALSE)+IF(ISNUMBER(L119),AND(L119=INT(L119),L119&gt;=1,L119&lt;=3),FALSE)+IF(ISNUMBER(M119),AND(M119=INT(M119),M119&gt;=1,M119&lt;=3),FALSE)+IF(ISNUMBER(N119),AND(N119=INT(N119),N119&gt;=1,N119&lt;=3),FALSE)+IF(ISNUMBER(O119),AND(O119=INT(O119),O119&gt;=1,O119&lt;=3),FALSE))</f>
        <v/>
      </c>
      <c r="Q119" s="38">
        <f>IF(P119=5,SUM(K119:O119),"")</f>
        <v/>
      </c>
      <c r="R119" s="38">
        <f>IF(P119="","",IF(P119&lt;5,"Pendente",IF(NOT(cad_limites_ok),"Pendente",IF(K119=3,"A",IF(Q119&gt;=cad_limite_a,"A",IF(Q119&gt;=cad_limite_b,"B","C"))))))</f>
        <v/>
      </c>
      <c r="S119" s="40">
        <f>IF(P119="","",IF(A119="","Pendente: falta o ID do ativo",IF(COUNTIF(at_id,A119)&gt;1,"ERRO: ID do ativo duplicado",IF(COUNTA(K119:O119)&gt;P119,"Pendente: nota inválida (use inteiro de 1 a 3)",IF(P119&lt;5,"Pendente: falta(m) "&amp;(5-P119)&amp;" nota(s)",IF(NOT(cad_limites_ok),"Pendente: corrija os limites A/B em Critérios",IF(K119=3,"A por Segurança = 3","Classe pela soma e limites")))))))</f>
        <v/>
      </c>
    </row>
    <row r="120">
      <c r="A120" s="36" t="n"/>
      <c r="B120" s="36" t="n"/>
      <c r="C120" s="37" t="n"/>
      <c r="D120" s="36" t="n"/>
      <c r="E120" s="38">
        <f>IF(D120="","",IFERROR(INDEX(lst_tipo_nome,MATCH(D120,lst_tipo_id,0)),"Tipo não cadastrado em Listas"))</f>
        <v/>
      </c>
      <c r="F120" s="36" t="n"/>
      <c r="G120" s="36" t="n"/>
      <c r="H120" s="36" t="n"/>
      <c r="I120" s="39" t="n"/>
      <c r="J120" s="38">
        <f>IF(OR(B120="",D120="",H120="",I120=""),"",IF(B120=H120&amp;"-"&amp;IFERROR(INDEX(lst_tipo_sigla,MATCH(D120,lst_tipo_id,0)),"???")&amp;"-"&amp;RIGHT("00"&amp;I120,3),"OK","Verificar: TAG difere de setor-sigla-número"))</f>
        <v/>
      </c>
      <c r="K120" s="39" t="n"/>
      <c r="L120" s="39" t="n"/>
      <c r="M120" s="39" t="n"/>
      <c r="N120" s="39" t="n"/>
      <c r="O120" s="39" t="n"/>
      <c r="P120" s="38">
        <f>IF(COUNTA(A120:D120)+COUNTA(F120:I120)+COUNTA(K120:O120)=0,"",IF(ISNUMBER(K120),AND(K120=INT(K120),K120&gt;=1,K120&lt;=3),FALSE)+IF(ISNUMBER(L120),AND(L120=INT(L120),L120&gt;=1,L120&lt;=3),FALSE)+IF(ISNUMBER(M120),AND(M120=INT(M120),M120&gt;=1,M120&lt;=3),FALSE)+IF(ISNUMBER(N120),AND(N120=INT(N120),N120&gt;=1,N120&lt;=3),FALSE)+IF(ISNUMBER(O120),AND(O120=INT(O120),O120&gt;=1,O120&lt;=3),FALSE))</f>
        <v/>
      </c>
      <c r="Q120" s="38">
        <f>IF(P120=5,SUM(K120:O120),"")</f>
        <v/>
      </c>
      <c r="R120" s="38">
        <f>IF(P120="","",IF(P120&lt;5,"Pendente",IF(NOT(cad_limites_ok),"Pendente",IF(K120=3,"A",IF(Q120&gt;=cad_limite_a,"A",IF(Q120&gt;=cad_limite_b,"B","C"))))))</f>
        <v/>
      </c>
      <c r="S120" s="40">
        <f>IF(P120="","",IF(A120="","Pendente: falta o ID do ativo",IF(COUNTIF(at_id,A120)&gt;1,"ERRO: ID do ativo duplicado",IF(COUNTA(K120:O120)&gt;P120,"Pendente: nota inválida (use inteiro de 1 a 3)",IF(P120&lt;5,"Pendente: falta(m) "&amp;(5-P120)&amp;" nota(s)",IF(NOT(cad_limites_ok),"Pendente: corrija os limites A/B em Critérios",IF(K120=3,"A por Segurança = 3","Classe pela soma e limites")))))))</f>
        <v/>
      </c>
    </row>
    <row r="121">
      <c r="A121" s="36" t="n"/>
      <c r="B121" s="36" t="n"/>
      <c r="C121" s="37" t="n"/>
      <c r="D121" s="36" t="n"/>
      <c r="E121" s="38">
        <f>IF(D121="","",IFERROR(INDEX(lst_tipo_nome,MATCH(D121,lst_tipo_id,0)),"Tipo não cadastrado em Listas"))</f>
        <v/>
      </c>
      <c r="F121" s="36" t="n"/>
      <c r="G121" s="36" t="n"/>
      <c r="H121" s="36" t="n"/>
      <c r="I121" s="39" t="n"/>
      <c r="J121" s="38">
        <f>IF(OR(B121="",D121="",H121="",I121=""),"",IF(B121=H121&amp;"-"&amp;IFERROR(INDEX(lst_tipo_sigla,MATCH(D121,lst_tipo_id,0)),"???")&amp;"-"&amp;RIGHT("00"&amp;I121,3),"OK","Verificar: TAG difere de setor-sigla-número"))</f>
        <v/>
      </c>
      <c r="K121" s="39" t="n"/>
      <c r="L121" s="39" t="n"/>
      <c r="M121" s="39" t="n"/>
      <c r="N121" s="39" t="n"/>
      <c r="O121" s="39" t="n"/>
      <c r="P121" s="38">
        <f>IF(COUNTA(A121:D121)+COUNTA(F121:I121)+COUNTA(K121:O121)=0,"",IF(ISNUMBER(K121),AND(K121=INT(K121),K121&gt;=1,K121&lt;=3),FALSE)+IF(ISNUMBER(L121),AND(L121=INT(L121),L121&gt;=1,L121&lt;=3),FALSE)+IF(ISNUMBER(M121),AND(M121=INT(M121),M121&gt;=1,M121&lt;=3),FALSE)+IF(ISNUMBER(N121),AND(N121=INT(N121),N121&gt;=1,N121&lt;=3),FALSE)+IF(ISNUMBER(O121),AND(O121=INT(O121),O121&gt;=1,O121&lt;=3),FALSE))</f>
        <v/>
      </c>
      <c r="Q121" s="38">
        <f>IF(P121=5,SUM(K121:O121),"")</f>
        <v/>
      </c>
      <c r="R121" s="38">
        <f>IF(P121="","",IF(P121&lt;5,"Pendente",IF(NOT(cad_limites_ok),"Pendente",IF(K121=3,"A",IF(Q121&gt;=cad_limite_a,"A",IF(Q121&gt;=cad_limite_b,"B","C"))))))</f>
        <v/>
      </c>
      <c r="S121" s="40">
        <f>IF(P121="","",IF(A121="","Pendente: falta o ID do ativo",IF(COUNTIF(at_id,A121)&gt;1,"ERRO: ID do ativo duplicado",IF(COUNTA(K121:O121)&gt;P121,"Pendente: nota inválida (use inteiro de 1 a 3)",IF(P121&lt;5,"Pendente: falta(m) "&amp;(5-P121)&amp;" nota(s)",IF(NOT(cad_limites_ok),"Pendente: corrija os limites A/B em Critérios",IF(K121=3,"A por Segurança = 3","Classe pela soma e limites")))))))</f>
        <v/>
      </c>
    </row>
    <row r="122">
      <c r="A122" s="36" t="n"/>
      <c r="B122" s="36" t="n"/>
      <c r="C122" s="37" t="n"/>
      <c r="D122" s="36" t="n"/>
      <c r="E122" s="38">
        <f>IF(D122="","",IFERROR(INDEX(lst_tipo_nome,MATCH(D122,lst_tipo_id,0)),"Tipo não cadastrado em Listas"))</f>
        <v/>
      </c>
      <c r="F122" s="36" t="n"/>
      <c r="G122" s="36" t="n"/>
      <c r="H122" s="36" t="n"/>
      <c r="I122" s="39" t="n"/>
      <c r="J122" s="38">
        <f>IF(OR(B122="",D122="",H122="",I122=""),"",IF(B122=H122&amp;"-"&amp;IFERROR(INDEX(lst_tipo_sigla,MATCH(D122,lst_tipo_id,0)),"???")&amp;"-"&amp;RIGHT("00"&amp;I122,3),"OK","Verificar: TAG difere de setor-sigla-número"))</f>
        <v/>
      </c>
      <c r="K122" s="39" t="n"/>
      <c r="L122" s="39" t="n"/>
      <c r="M122" s="39" t="n"/>
      <c r="N122" s="39" t="n"/>
      <c r="O122" s="39" t="n"/>
      <c r="P122" s="38">
        <f>IF(COUNTA(A122:D122)+COUNTA(F122:I122)+COUNTA(K122:O122)=0,"",IF(ISNUMBER(K122),AND(K122=INT(K122),K122&gt;=1,K122&lt;=3),FALSE)+IF(ISNUMBER(L122),AND(L122=INT(L122),L122&gt;=1,L122&lt;=3),FALSE)+IF(ISNUMBER(M122),AND(M122=INT(M122),M122&gt;=1,M122&lt;=3),FALSE)+IF(ISNUMBER(N122),AND(N122=INT(N122),N122&gt;=1,N122&lt;=3),FALSE)+IF(ISNUMBER(O122),AND(O122=INT(O122),O122&gt;=1,O122&lt;=3),FALSE))</f>
        <v/>
      </c>
      <c r="Q122" s="38">
        <f>IF(P122=5,SUM(K122:O122),"")</f>
        <v/>
      </c>
      <c r="R122" s="38">
        <f>IF(P122="","",IF(P122&lt;5,"Pendente",IF(NOT(cad_limites_ok),"Pendente",IF(K122=3,"A",IF(Q122&gt;=cad_limite_a,"A",IF(Q122&gt;=cad_limite_b,"B","C"))))))</f>
        <v/>
      </c>
      <c r="S122" s="40">
        <f>IF(P122="","",IF(A122="","Pendente: falta o ID do ativo",IF(COUNTIF(at_id,A122)&gt;1,"ERRO: ID do ativo duplicado",IF(COUNTA(K122:O122)&gt;P122,"Pendente: nota inválida (use inteiro de 1 a 3)",IF(P122&lt;5,"Pendente: falta(m) "&amp;(5-P122)&amp;" nota(s)",IF(NOT(cad_limites_ok),"Pendente: corrija os limites A/B em Critérios",IF(K122=3,"A por Segurança = 3","Classe pela soma e limites")))))))</f>
        <v/>
      </c>
    </row>
    <row r="123">
      <c r="A123" s="36" t="n"/>
      <c r="B123" s="36" t="n"/>
      <c r="C123" s="37" t="n"/>
      <c r="D123" s="36" t="n"/>
      <c r="E123" s="38">
        <f>IF(D123="","",IFERROR(INDEX(lst_tipo_nome,MATCH(D123,lst_tipo_id,0)),"Tipo não cadastrado em Listas"))</f>
        <v/>
      </c>
      <c r="F123" s="36" t="n"/>
      <c r="G123" s="36" t="n"/>
      <c r="H123" s="36" t="n"/>
      <c r="I123" s="39" t="n"/>
      <c r="J123" s="38">
        <f>IF(OR(B123="",D123="",H123="",I123=""),"",IF(B123=H123&amp;"-"&amp;IFERROR(INDEX(lst_tipo_sigla,MATCH(D123,lst_tipo_id,0)),"???")&amp;"-"&amp;RIGHT("00"&amp;I123,3),"OK","Verificar: TAG difere de setor-sigla-número"))</f>
        <v/>
      </c>
      <c r="K123" s="39" t="n"/>
      <c r="L123" s="39" t="n"/>
      <c r="M123" s="39" t="n"/>
      <c r="N123" s="39" t="n"/>
      <c r="O123" s="39" t="n"/>
      <c r="P123" s="38">
        <f>IF(COUNTA(A123:D123)+COUNTA(F123:I123)+COUNTA(K123:O123)=0,"",IF(ISNUMBER(K123),AND(K123=INT(K123),K123&gt;=1,K123&lt;=3),FALSE)+IF(ISNUMBER(L123),AND(L123=INT(L123),L123&gt;=1,L123&lt;=3),FALSE)+IF(ISNUMBER(M123),AND(M123=INT(M123),M123&gt;=1,M123&lt;=3),FALSE)+IF(ISNUMBER(N123),AND(N123=INT(N123),N123&gt;=1,N123&lt;=3),FALSE)+IF(ISNUMBER(O123),AND(O123=INT(O123),O123&gt;=1,O123&lt;=3),FALSE))</f>
        <v/>
      </c>
      <c r="Q123" s="38">
        <f>IF(P123=5,SUM(K123:O123),"")</f>
        <v/>
      </c>
      <c r="R123" s="38">
        <f>IF(P123="","",IF(P123&lt;5,"Pendente",IF(NOT(cad_limites_ok),"Pendente",IF(K123=3,"A",IF(Q123&gt;=cad_limite_a,"A",IF(Q123&gt;=cad_limite_b,"B","C"))))))</f>
        <v/>
      </c>
      <c r="S123" s="40">
        <f>IF(P123="","",IF(A123="","Pendente: falta o ID do ativo",IF(COUNTIF(at_id,A123)&gt;1,"ERRO: ID do ativo duplicado",IF(COUNTA(K123:O123)&gt;P123,"Pendente: nota inválida (use inteiro de 1 a 3)",IF(P123&lt;5,"Pendente: falta(m) "&amp;(5-P123)&amp;" nota(s)",IF(NOT(cad_limites_ok),"Pendente: corrija os limites A/B em Critérios",IF(K123=3,"A por Segurança = 3","Classe pela soma e limites")))))))</f>
        <v/>
      </c>
    </row>
    <row r="124">
      <c r="A124" s="36" t="n"/>
      <c r="B124" s="36" t="n"/>
      <c r="C124" s="37" t="n"/>
      <c r="D124" s="36" t="n"/>
      <c r="E124" s="38">
        <f>IF(D124="","",IFERROR(INDEX(lst_tipo_nome,MATCH(D124,lst_tipo_id,0)),"Tipo não cadastrado em Listas"))</f>
        <v/>
      </c>
      <c r="F124" s="36" t="n"/>
      <c r="G124" s="36" t="n"/>
      <c r="H124" s="36" t="n"/>
      <c r="I124" s="39" t="n"/>
      <c r="J124" s="38">
        <f>IF(OR(B124="",D124="",H124="",I124=""),"",IF(B124=H124&amp;"-"&amp;IFERROR(INDEX(lst_tipo_sigla,MATCH(D124,lst_tipo_id,0)),"???")&amp;"-"&amp;RIGHT("00"&amp;I124,3),"OK","Verificar: TAG difere de setor-sigla-número"))</f>
        <v/>
      </c>
      <c r="K124" s="39" t="n"/>
      <c r="L124" s="39" t="n"/>
      <c r="M124" s="39" t="n"/>
      <c r="N124" s="39" t="n"/>
      <c r="O124" s="39" t="n"/>
      <c r="P124" s="38">
        <f>IF(COUNTA(A124:D124)+COUNTA(F124:I124)+COUNTA(K124:O124)=0,"",IF(ISNUMBER(K124),AND(K124=INT(K124),K124&gt;=1,K124&lt;=3),FALSE)+IF(ISNUMBER(L124),AND(L124=INT(L124),L124&gt;=1,L124&lt;=3),FALSE)+IF(ISNUMBER(M124),AND(M124=INT(M124),M124&gt;=1,M124&lt;=3),FALSE)+IF(ISNUMBER(N124),AND(N124=INT(N124),N124&gt;=1,N124&lt;=3),FALSE)+IF(ISNUMBER(O124),AND(O124=INT(O124),O124&gt;=1,O124&lt;=3),FALSE))</f>
        <v/>
      </c>
      <c r="Q124" s="38">
        <f>IF(P124=5,SUM(K124:O124),"")</f>
        <v/>
      </c>
      <c r="R124" s="38">
        <f>IF(P124="","",IF(P124&lt;5,"Pendente",IF(NOT(cad_limites_ok),"Pendente",IF(K124=3,"A",IF(Q124&gt;=cad_limite_a,"A",IF(Q124&gt;=cad_limite_b,"B","C"))))))</f>
        <v/>
      </c>
      <c r="S124" s="40">
        <f>IF(P124="","",IF(A124="","Pendente: falta o ID do ativo",IF(COUNTIF(at_id,A124)&gt;1,"ERRO: ID do ativo duplicado",IF(COUNTA(K124:O124)&gt;P124,"Pendente: nota inválida (use inteiro de 1 a 3)",IF(P124&lt;5,"Pendente: falta(m) "&amp;(5-P124)&amp;" nota(s)",IF(NOT(cad_limites_ok),"Pendente: corrija os limites A/B em Critérios",IF(K124=3,"A por Segurança = 3","Classe pela soma e limites")))))))</f>
        <v/>
      </c>
    </row>
    <row r="125">
      <c r="A125" s="36" t="n"/>
      <c r="B125" s="36" t="n"/>
      <c r="C125" s="37" t="n"/>
      <c r="D125" s="36" t="n"/>
      <c r="E125" s="38">
        <f>IF(D125="","",IFERROR(INDEX(lst_tipo_nome,MATCH(D125,lst_tipo_id,0)),"Tipo não cadastrado em Listas"))</f>
        <v/>
      </c>
      <c r="F125" s="36" t="n"/>
      <c r="G125" s="36" t="n"/>
      <c r="H125" s="36" t="n"/>
      <c r="I125" s="39" t="n"/>
      <c r="J125" s="38">
        <f>IF(OR(B125="",D125="",H125="",I125=""),"",IF(B125=H125&amp;"-"&amp;IFERROR(INDEX(lst_tipo_sigla,MATCH(D125,lst_tipo_id,0)),"???")&amp;"-"&amp;RIGHT("00"&amp;I125,3),"OK","Verificar: TAG difere de setor-sigla-número"))</f>
        <v/>
      </c>
      <c r="K125" s="39" t="n"/>
      <c r="L125" s="39" t="n"/>
      <c r="M125" s="39" t="n"/>
      <c r="N125" s="39" t="n"/>
      <c r="O125" s="39" t="n"/>
      <c r="P125" s="38">
        <f>IF(COUNTA(A125:D125)+COUNTA(F125:I125)+COUNTA(K125:O125)=0,"",IF(ISNUMBER(K125),AND(K125=INT(K125),K125&gt;=1,K125&lt;=3),FALSE)+IF(ISNUMBER(L125),AND(L125=INT(L125),L125&gt;=1,L125&lt;=3),FALSE)+IF(ISNUMBER(M125),AND(M125=INT(M125),M125&gt;=1,M125&lt;=3),FALSE)+IF(ISNUMBER(N125),AND(N125=INT(N125),N125&gt;=1,N125&lt;=3),FALSE)+IF(ISNUMBER(O125),AND(O125=INT(O125),O125&gt;=1,O125&lt;=3),FALSE))</f>
        <v/>
      </c>
      <c r="Q125" s="38">
        <f>IF(P125=5,SUM(K125:O125),"")</f>
        <v/>
      </c>
      <c r="R125" s="38">
        <f>IF(P125="","",IF(P125&lt;5,"Pendente",IF(NOT(cad_limites_ok),"Pendente",IF(K125=3,"A",IF(Q125&gt;=cad_limite_a,"A",IF(Q125&gt;=cad_limite_b,"B","C"))))))</f>
        <v/>
      </c>
      <c r="S125" s="40">
        <f>IF(P125="","",IF(A125="","Pendente: falta o ID do ativo",IF(COUNTIF(at_id,A125)&gt;1,"ERRO: ID do ativo duplicado",IF(COUNTA(K125:O125)&gt;P125,"Pendente: nota inválida (use inteiro de 1 a 3)",IF(P125&lt;5,"Pendente: falta(m) "&amp;(5-P125)&amp;" nota(s)",IF(NOT(cad_limites_ok),"Pendente: corrija os limites A/B em Critérios",IF(K125=3,"A por Segurança = 3","Classe pela soma e limites")))))))</f>
        <v/>
      </c>
    </row>
    <row r="126">
      <c r="A126" s="36" t="n"/>
      <c r="B126" s="36" t="n"/>
      <c r="C126" s="37" t="n"/>
      <c r="D126" s="36" t="n"/>
      <c r="E126" s="38">
        <f>IF(D126="","",IFERROR(INDEX(lst_tipo_nome,MATCH(D126,lst_tipo_id,0)),"Tipo não cadastrado em Listas"))</f>
        <v/>
      </c>
      <c r="F126" s="36" t="n"/>
      <c r="G126" s="36" t="n"/>
      <c r="H126" s="36" t="n"/>
      <c r="I126" s="39" t="n"/>
      <c r="J126" s="38">
        <f>IF(OR(B126="",D126="",H126="",I126=""),"",IF(B126=H126&amp;"-"&amp;IFERROR(INDEX(lst_tipo_sigla,MATCH(D126,lst_tipo_id,0)),"???")&amp;"-"&amp;RIGHT("00"&amp;I126,3),"OK","Verificar: TAG difere de setor-sigla-número"))</f>
        <v/>
      </c>
      <c r="K126" s="39" t="n"/>
      <c r="L126" s="39" t="n"/>
      <c r="M126" s="39" t="n"/>
      <c r="N126" s="39" t="n"/>
      <c r="O126" s="39" t="n"/>
      <c r="P126" s="38">
        <f>IF(COUNTA(A126:D126)+COUNTA(F126:I126)+COUNTA(K126:O126)=0,"",IF(ISNUMBER(K126),AND(K126=INT(K126),K126&gt;=1,K126&lt;=3),FALSE)+IF(ISNUMBER(L126),AND(L126=INT(L126),L126&gt;=1,L126&lt;=3),FALSE)+IF(ISNUMBER(M126),AND(M126=INT(M126),M126&gt;=1,M126&lt;=3),FALSE)+IF(ISNUMBER(N126),AND(N126=INT(N126),N126&gt;=1,N126&lt;=3),FALSE)+IF(ISNUMBER(O126),AND(O126=INT(O126),O126&gt;=1,O126&lt;=3),FALSE))</f>
        <v/>
      </c>
      <c r="Q126" s="38">
        <f>IF(P126=5,SUM(K126:O126),"")</f>
        <v/>
      </c>
      <c r="R126" s="38">
        <f>IF(P126="","",IF(P126&lt;5,"Pendente",IF(NOT(cad_limites_ok),"Pendente",IF(K126=3,"A",IF(Q126&gt;=cad_limite_a,"A",IF(Q126&gt;=cad_limite_b,"B","C"))))))</f>
        <v/>
      </c>
      <c r="S126" s="40">
        <f>IF(P126="","",IF(A126="","Pendente: falta o ID do ativo",IF(COUNTIF(at_id,A126)&gt;1,"ERRO: ID do ativo duplicado",IF(COUNTA(K126:O126)&gt;P126,"Pendente: nota inválida (use inteiro de 1 a 3)",IF(P126&lt;5,"Pendente: falta(m) "&amp;(5-P126)&amp;" nota(s)",IF(NOT(cad_limites_ok),"Pendente: corrija os limites A/B em Critérios",IF(K126=3,"A por Segurança = 3","Classe pela soma e limites")))))))</f>
        <v/>
      </c>
    </row>
    <row r="127">
      <c r="A127" s="36" t="n"/>
      <c r="B127" s="36" t="n"/>
      <c r="C127" s="37" t="n"/>
      <c r="D127" s="36" t="n"/>
      <c r="E127" s="38">
        <f>IF(D127="","",IFERROR(INDEX(lst_tipo_nome,MATCH(D127,lst_tipo_id,0)),"Tipo não cadastrado em Listas"))</f>
        <v/>
      </c>
      <c r="F127" s="36" t="n"/>
      <c r="G127" s="36" t="n"/>
      <c r="H127" s="36" t="n"/>
      <c r="I127" s="39" t="n"/>
      <c r="J127" s="38">
        <f>IF(OR(B127="",D127="",H127="",I127=""),"",IF(B127=H127&amp;"-"&amp;IFERROR(INDEX(lst_tipo_sigla,MATCH(D127,lst_tipo_id,0)),"???")&amp;"-"&amp;RIGHT("00"&amp;I127,3),"OK","Verificar: TAG difere de setor-sigla-número"))</f>
        <v/>
      </c>
      <c r="K127" s="39" t="n"/>
      <c r="L127" s="39" t="n"/>
      <c r="M127" s="39" t="n"/>
      <c r="N127" s="39" t="n"/>
      <c r="O127" s="39" t="n"/>
      <c r="P127" s="38">
        <f>IF(COUNTA(A127:D127)+COUNTA(F127:I127)+COUNTA(K127:O127)=0,"",IF(ISNUMBER(K127),AND(K127=INT(K127),K127&gt;=1,K127&lt;=3),FALSE)+IF(ISNUMBER(L127),AND(L127=INT(L127),L127&gt;=1,L127&lt;=3),FALSE)+IF(ISNUMBER(M127),AND(M127=INT(M127),M127&gt;=1,M127&lt;=3),FALSE)+IF(ISNUMBER(N127),AND(N127=INT(N127),N127&gt;=1,N127&lt;=3),FALSE)+IF(ISNUMBER(O127),AND(O127=INT(O127),O127&gt;=1,O127&lt;=3),FALSE))</f>
        <v/>
      </c>
      <c r="Q127" s="38">
        <f>IF(P127=5,SUM(K127:O127),"")</f>
        <v/>
      </c>
      <c r="R127" s="38">
        <f>IF(P127="","",IF(P127&lt;5,"Pendente",IF(NOT(cad_limites_ok),"Pendente",IF(K127=3,"A",IF(Q127&gt;=cad_limite_a,"A",IF(Q127&gt;=cad_limite_b,"B","C"))))))</f>
        <v/>
      </c>
      <c r="S127" s="40">
        <f>IF(P127="","",IF(A127="","Pendente: falta o ID do ativo",IF(COUNTIF(at_id,A127)&gt;1,"ERRO: ID do ativo duplicado",IF(COUNTA(K127:O127)&gt;P127,"Pendente: nota inválida (use inteiro de 1 a 3)",IF(P127&lt;5,"Pendente: falta(m) "&amp;(5-P127)&amp;" nota(s)",IF(NOT(cad_limites_ok),"Pendente: corrija os limites A/B em Critérios",IF(K127=3,"A por Segurança = 3","Classe pela soma e limites")))))))</f>
        <v/>
      </c>
    </row>
    <row r="128">
      <c r="A128" s="36" t="n"/>
      <c r="B128" s="36" t="n"/>
      <c r="C128" s="37" t="n"/>
      <c r="D128" s="36" t="n"/>
      <c r="E128" s="38">
        <f>IF(D128="","",IFERROR(INDEX(lst_tipo_nome,MATCH(D128,lst_tipo_id,0)),"Tipo não cadastrado em Listas"))</f>
        <v/>
      </c>
      <c r="F128" s="36" t="n"/>
      <c r="G128" s="36" t="n"/>
      <c r="H128" s="36" t="n"/>
      <c r="I128" s="39" t="n"/>
      <c r="J128" s="38">
        <f>IF(OR(B128="",D128="",H128="",I128=""),"",IF(B128=H128&amp;"-"&amp;IFERROR(INDEX(lst_tipo_sigla,MATCH(D128,lst_tipo_id,0)),"???")&amp;"-"&amp;RIGHT("00"&amp;I128,3),"OK","Verificar: TAG difere de setor-sigla-número"))</f>
        <v/>
      </c>
      <c r="K128" s="39" t="n"/>
      <c r="L128" s="39" t="n"/>
      <c r="M128" s="39" t="n"/>
      <c r="N128" s="39" t="n"/>
      <c r="O128" s="39" t="n"/>
      <c r="P128" s="38">
        <f>IF(COUNTA(A128:D128)+COUNTA(F128:I128)+COUNTA(K128:O128)=0,"",IF(ISNUMBER(K128),AND(K128=INT(K128),K128&gt;=1,K128&lt;=3),FALSE)+IF(ISNUMBER(L128),AND(L128=INT(L128),L128&gt;=1,L128&lt;=3),FALSE)+IF(ISNUMBER(M128),AND(M128=INT(M128),M128&gt;=1,M128&lt;=3),FALSE)+IF(ISNUMBER(N128),AND(N128=INT(N128),N128&gt;=1,N128&lt;=3),FALSE)+IF(ISNUMBER(O128),AND(O128=INT(O128),O128&gt;=1,O128&lt;=3),FALSE))</f>
        <v/>
      </c>
      <c r="Q128" s="38">
        <f>IF(P128=5,SUM(K128:O128),"")</f>
        <v/>
      </c>
      <c r="R128" s="38">
        <f>IF(P128="","",IF(P128&lt;5,"Pendente",IF(NOT(cad_limites_ok),"Pendente",IF(K128=3,"A",IF(Q128&gt;=cad_limite_a,"A",IF(Q128&gt;=cad_limite_b,"B","C"))))))</f>
        <v/>
      </c>
      <c r="S128" s="40">
        <f>IF(P128="","",IF(A128="","Pendente: falta o ID do ativo",IF(COUNTIF(at_id,A128)&gt;1,"ERRO: ID do ativo duplicado",IF(COUNTA(K128:O128)&gt;P128,"Pendente: nota inválida (use inteiro de 1 a 3)",IF(P128&lt;5,"Pendente: falta(m) "&amp;(5-P128)&amp;" nota(s)",IF(NOT(cad_limites_ok),"Pendente: corrija os limites A/B em Critérios",IF(K128=3,"A por Segurança = 3","Classe pela soma e limites")))))))</f>
        <v/>
      </c>
    </row>
    <row r="129">
      <c r="A129" s="36" t="n"/>
      <c r="B129" s="36" t="n"/>
      <c r="C129" s="37" t="n"/>
      <c r="D129" s="36" t="n"/>
      <c r="E129" s="38">
        <f>IF(D129="","",IFERROR(INDEX(lst_tipo_nome,MATCH(D129,lst_tipo_id,0)),"Tipo não cadastrado em Listas"))</f>
        <v/>
      </c>
      <c r="F129" s="36" t="n"/>
      <c r="G129" s="36" t="n"/>
      <c r="H129" s="36" t="n"/>
      <c r="I129" s="39" t="n"/>
      <c r="J129" s="38">
        <f>IF(OR(B129="",D129="",H129="",I129=""),"",IF(B129=H129&amp;"-"&amp;IFERROR(INDEX(lst_tipo_sigla,MATCH(D129,lst_tipo_id,0)),"???")&amp;"-"&amp;RIGHT("00"&amp;I129,3),"OK","Verificar: TAG difere de setor-sigla-número"))</f>
        <v/>
      </c>
      <c r="K129" s="39" t="n"/>
      <c r="L129" s="39" t="n"/>
      <c r="M129" s="39" t="n"/>
      <c r="N129" s="39" t="n"/>
      <c r="O129" s="39" t="n"/>
      <c r="P129" s="38">
        <f>IF(COUNTA(A129:D129)+COUNTA(F129:I129)+COUNTA(K129:O129)=0,"",IF(ISNUMBER(K129),AND(K129=INT(K129),K129&gt;=1,K129&lt;=3),FALSE)+IF(ISNUMBER(L129),AND(L129=INT(L129),L129&gt;=1,L129&lt;=3),FALSE)+IF(ISNUMBER(M129),AND(M129=INT(M129),M129&gt;=1,M129&lt;=3),FALSE)+IF(ISNUMBER(N129),AND(N129=INT(N129),N129&gt;=1,N129&lt;=3),FALSE)+IF(ISNUMBER(O129),AND(O129=INT(O129),O129&gt;=1,O129&lt;=3),FALSE))</f>
        <v/>
      </c>
      <c r="Q129" s="38">
        <f>IF(P129=5,SUM(K129:O129),"")</f>
        <v/>
      </c>
      <c r="R129" s="38">
        <f>IF(P129="","",IF(P129&lt;5,"Pendente",IF(NOT(cad_limites_ok),"Pendente",IF(K129=3,"A",IF(Q129&gt;=cad_limite_a,"A",IF(Q129&gt;=cad_limite_b,"B","C"))))))</f>
        <v/>
      </c>
      <c r="S129" s="40">
        <f>IF(P129="","",IF(A129="","Pendente: falta o ID do ativo",IF(COUNTIF(at_id,A129)&gt;1,"ERRO: ID do ativo duplicado",IF(COUNTA(K129:O129)&gt;P129,"Pendente: nota inválida (use inteiro de 1 a 3)",IF(P129&lt;5,"Pendente: falta(m) "&amp;(5-P129)&amp;" nota(s)",IF(NOT(cad_limites_ok),"Pendente: corrija os limites A/B em Critérios",IF(K129=3,"A por Segurança = 3","Classe pela soma e limites")))))))</f>
        <v/>
      </c>
    </row>
    <row r="130">
      <c r="A130" s="36" t="n"/>
      <c r="B130" s="36" t="n"/>
      <c r="C130" s="37" t="n"/>
      <c r="D130" s="36" t="n"/>
      <c r="E130" s="38">
        <f>IF(D130="","",IFERROR(INDEX(lst_tipo_nome,MATCH(D130,lst_tipo_id,0)),"Tipo não cadastrado em Listas"))</f>
        <v/>
      </c>
      <c r="F130" s="36" t="n"/>
      <c r="G130" s="36" t="n"/>
      <c r="H130" s="36" t="n"/>
      <c r="I130" s="39" t="n"/>
      <c r="J130" s="38">
        <f>IF(OR(B130="",D130="",H130="",I130=""),"",IF(B130=H130&amp;"-"&amp;IFERROR(INDEX(lst_tipo_sigla,MATCH(D130,lst_tipo_id,0)),"???")&amp;"-"&amp;RIGHT("00"&amp;I130,3),"OK","Verificar: TAG difere de setor-sigla-número"))</f>
        <v/>
      </c>
      <c r="K130" s="39" t="n"/>
      <c r="L130" s="39" t="n"/>
      <c r="M130" s="39" t="n"/>
      <c r="N130" s="39" t="n"/>
      <c r="O130" s="39" t="n"/>
      <c r="P130" s="38">
        <f>IF(COUNTA(A130:D130)+COUNTA(F130:I130)+COUNTA(K130:O130)=0,"",IF(ISNUMBER(K130),AND(K130=INT(K130),K130&gt;=1,K130&lt;=3),FALSE)+IF(ISNUMBER(L130),AND(L130=INT(L130),L130&gt;=1,L130&lt;=3),FALSE)+IF(ISNUMBER(M130),AND(M130=INT(M130),M130&gt;=1,M130&lt;=3),FALSE)+IF(ISNUMBER(N130),AND(N130=INT(N130),N130&gt;=1,N130&lt;=3),FALSE)+IF(ISNUMBER(O130),AND(O130=INT(O130),O130&gt;=1,O130&lt;=3),FALSE))</f>
        <v/>
      </c>
      <c r="Q130" s="38">
        <f>IF(P130=5,SUM(K130:O130),"")</f>
        <v/>
      </c>
      <c r="R130" s="38">
        <f>IF(P130="","",IF(P130&lt;5,"Pendente",IF(NOT(cad_limites_ok),"Pendente",IF(K130=3,"A",IF(Q130&gt;=cad_limite_a,"A",IF(Q130&gt;=cad_limite_b,"B","C"))))))</f>
        <v/>
      </c>
      <c r="S130" s="40">
        <f>IF(P130="","",IF(A130="","Pendente: falta o ID do ativo",IF(COUNTIF(at_id,A130)&gt;1,"ERRO: ID do ativo duplicado",IF(COUNTA(K130:O130)&gt;P130,"Pendente: nota inválida (use inteiro de 1 a 3)",IF(P130&lt;5,"Pendente: falta(m) "&amp;(5-P130)&amp;" nota(s)",IF(NOT(cad_limites_ok),"Pendente: corrija os limites A/B em Critérios",IF(K130=3,"A por Segurança = 3","Classe pela soma e limites")))))))</f>
        <v/>
      </c>
    </row>
    <row r="131">
      <c r="A131" s="36" t="n"/>
      <c r="B131" s="36" t="n"/>
      <c r="C131" s="37" t="n"/>
      <c r="D131" s="36" t="n"/>
      <c r="E131" s="38">
        <f>IF(D131="","",IFERROR(INDEX(lst_tipo_nome,MATCH(D131,lst_tipo_id,0)),"Tipo não cadastrado em Listas"))</f>
        <v/>
      </c>
      <c r="F131" s="36" t="n"/>
      <c r="G131" s="36" t="n"/>
      <c r="H131" s="36" t="n"/>
      <c r="I131" s="39" t="n"/>
      <c r="J131" s="38">
        <f>IF(OR(B131="",D131="",H131="",I131=""),"",IF(B131=H131&amp;"-"&amp;IFERROR(INDEX(lst_tipo_sigla,MATCH(D131,lst_tipo_id,0)),"???")&amp;"-"&amp;RIGHT("00"&amp;I131,3),"OK","Verificar: TAG difere de setor-sigla-número"))</f>
        <v/>
      </c>
      <c r="K131" s="39" t="n"/>
      <c r="L131" s="39" t="n"/>
      <c r="M131" s="39" t="n"/>
      <c r="N131" s="39" t="n"/>
      <c r="O131" s="39" t="n"/>
      <c r="P131" s="38">
        <f>IF(COUNTA(A131:D131)+COUNTA(F131:I131)+COUNTA(K131:O131)=0,"",IF(ISNUMBER(K131),AND(K131=INT(K131),K131&gt;=1,K131&lt;=3),FALSE)+IF(ISNUMBER(L131),AND(L131=INT(L131),L131&gt;=1,L131&lt;=3),FALSE)+IF(ISNUMBER(M131),AND(M131=INT(M131),M131&gt;=1,M131&lt;=3),FALSE)+IF(ISNUMBER(N131),AND(N131=INT(N131),N131&gt;=1,N131&lt;=3),FALSE)+IF(ISNUMBER(O131),AND(O131=INT(O131),O131&gt;=1,O131&lt;=3),FALSE))</f>
        <v/>
      </c>
      <c r="Q131" s="38">
        <f>IF(P131=5,SUM(K131:O131),"")</f>
        <v/>
      </c>
      <c r="R131" s="38">
        <f>IF(P131="","",IF(P131&lt;5,"Pendente",IF(NOT(cad_limites_ok),"Pendente",IF(K131=3,"A",IF(Q131&gt;=cad_limite_a,"A",IF(Q131&gt;=cad_limite_b,"B","C"))))))</f>
        <v/>
      </c>
      <c r="S131" s="40">
        <f>IF(P131="","",IF(A131="","Pendente: falta o ID do ativo",IF(COUNTIF(at_id,A131)&gt;1,"ERRO: ID do ativo duplicado",IF(COUNTA(K131:O131)&gt;P131,"Pendente: nota inválida (use inteiro de 1 a 3)",IF(P131&lt;5,"Pendente: falta(m) "&amp;(5-P131)&amp;" nota(s)",IF(NOT(cad_limites_ok),"Pendente: corrija os limites A/B em Critérios",IF(K131=3,"A por Segurança = 3","Classe pela soma e limites")))))))</f>
        <v/>
      </c>
    </row>
    <row r="132">
      <c r="A132" s="36" t="n"/>
      <c r="B132" s="36" t="n"/>
      <c r="C132" s="37" t="n"/>
      <c r="D132" s="36" t="n"/>
      <c r="E132" s="38">
        <f>IF(D132="","",IFERROR(INDEX(lst_tipo_nome,MATCH(D132,lst_tipo_id,0)),"Tipo não cadastrado em Listas"))</f>
        <v/>
      </c>
      <c r="F132" s="36" t="n"/>
      <c r="G132" s="36" t="n"/>
      <c r="H132" s="36" t="n"/>
      <c r="I132" s="39" t="n"/>
      <c r="J132" s="38">
        <f>IF(OR(B132="",D132="",H132="",I132=""),"",IF(B132=H132&amp;"-"&amp;IFERROR(INDEX(lst_tipo_sigla,MATCH(D132,lst_tipo_id,0)),"???")&amp;"-"&amp;RIGHT("00"&amp;I132,3),"OK","Verificar: TAG difere de setor-sigla-número"))</f>
        <v/>
      </c>
      <c r="K132" s="39" t="n"/>
      <c r="L132" s="39" t="n"/>
      <c r="M132" s="39" t="n"/>
      <c r="N132" s="39" t="n"/>
      <c r="O132" s="39" t="n"/>
      <c r="P132" s="38">
        <f>IF(COUNTA(A132:D132)+COUNTA(F132:I132)+COUNTA(K132:O132)=0,"",IF(ISNUMBER(K132),AND(K132=INT(K132),K132&gt;=1,K132&lt;=3),FALSE)+IF(ISNUMBER(L132),AND(L132=INT(L132),L132&gt;=1,L132&lt;=3),FALSE)+IF(ISNUMBER(M132),AND(M132=INT(M132),M132&gt;=1,M132&lt;=3),FALSE)+IF(ISNUMBER(N132),AND(N132=INT(N132),N132&gt;=1,N132&lt;=3),FALSE)+IF(ISNUMBER(O132),AND(O132=INT(O132),O132&gt;=1,O132&lt;=3),FALSE))</f>
        <v/>
      </c>
      <c r="Q132" s="38">
        <f>IF(P132=5,SUM(K132:O132),"")</f>
        <v/>
      </c>
      <c r="R132" s="38">
        <f>IF(P132="","",IF(P132&lt;5,"Pendente",IF(NOT(cad_limites_ok),"Pendente",IF(K132=3,"A",IF(Q132&gt;=cad_limite_a,"A",IF(Q132&gt;=cad_limite_b,"B","C"))))))</f>
        <v/>
      </c>
      <c r="S132" s="40">
        <f>IF(P132="","",IF(A132="","Pendente: falta o ID do ativo",IF(COUNTIF(at_id,A132)&gt;1,"ERRO: ID do ativo duplicado",IF(COUNTA(K132:O132)&gt;P132,"Pendente: nota inválida (use inteiro de 1 a 3)",IF(P132&lt;5,"Pendente: falta(m) "&amp;(5-P132)&amp;" nota(s)",IF(NOT(cad_limites_ok),"Pendente: corrija os limites A/B em Critérios",IF(K132=3,"A por Segurança = 3","Classe pela soma e limites")))))))</f>
        <v/>
      </c>
    </row>
    <row r="133">
      <c r="A133" s="36" t="n"/>
      <c r="B133" s="36" t="n"/>
      <c r="C133" s="37" t="n"/>
      <c r="D133" s="36" t="n"/>
      <c r="E133" s="38">
        <f>IF(D133="","",IFERROR(INDEX(lst_tipo_nome,MATCH(D133,lst_tipo_id,0)),"Tipo não cadastrado em Listas"))</f>
        <v/>
      </c>
      <c r="F133" s="36" t="n"/>
      <c r="G133" s="36" t="n"/>
      <c r="H133" s="36" t="n"/>
      <c r="I133" s="39" t="n"/>
      <c r="J133" s="38">
        <f>IF(OR(B133="",D133="",H133="",I133=""),"",IF(B133=H133&amp;"-"&amp;IFERROR(INDEX(lst_tipo_sigla,MATCH(D133,lst_tipo_id,0)),"???")&amp;"-"&amp;RIGHT("00"&amp;I133,3),"OK","Verificar: TAG difere de setor-sigla-número"))</f>
        <v/>
      </c>
      <c r="K133" s="39" t="n"/>
      <c r="L133" s="39" t="n"/>
      <c r="M133" s="39" t="n"/>
      <c r="N133" s="39" t="n"/>
      <c r="O133" s="39" t="n"/>
      <c r="P133" s="38">
        <f>IF(COUNTA(A133:D133)+COUNTA(F133:I133)+COUNTA(K133:O133)=0,"",IF(ISNUMBER(K133),AND(K133=INT(K133),K133&gt;=1,K133&lt;=3),FALSE)+IF(ISNUMBER(L133),AND(L133=INT(L133),L133&gt;=1,L133&lt;=3),FALSE)+IF(ISNUMBER(M133),AND(M133=INT(M133),M133&gt;=1,M133&lt;=3),FALSE)+IF(ISNUMBER(N133),AND(N133=INT(N133),N133&gt;=1,N133&lt;=3),FALSE)+IF(ISNUMBER(O133),AND(O133=INT(O133),O133&gt;=1,O133&lt;=3),FALSE))</f>
        <v/>
      </c>
      <c r="Q133" s="38">
        <f>IF(P133=5,SUM(K133:O133),"")</f>
        <v/>
      </c>
      <c r="R133" s="38">
        <f>IF(P133="","",IF(P133&lt;5,"Pendente",IF(NOT(cad_limites_ok),"Pendente",IF(K133=3,"A",IF(Q133&gt;=cad_limite_a,"A",IF(Q133&gt;=cad_limite_b,"B","C"))))))</f>
        <v/>
      </c>
      <c r="S133" s="40">
        <f>IF(P133="","",IF(A133="","Pendente: falta o ID do ativo",IF(COUNTIF(at_id,A133)&gt;1,"ERRO: ID do ativo duplicado",IF(COUNTA(K133:O133)&gt;P133,"Pendente: nota inválida (use inteiro de 1 a 3)",IF(P133&lt;5,"Pendente: falta(m) "&amp;(5-P133)&amp;" nota(s)",IF(NOT(cad_limites_ok),"Pendente: corrija os limites A/B em Critérios",IF(K133=3,"A por Segurança = 3","Classe pela soma e limites")))))))</f>
        <v/>
      </c>
    </row>
    <row r="134">
      <c r="A134" s="36" t="n"/>
      <c r="B134" s="36" t="n"/>
      <c r="C134" s="37" t="n"/>
      <c r="D134" s="36" t="n"/>
      <c r="E134" s="38">
        <f>IF(D134="","",IFERROR(INDEX(lst_tipo_nome,MATCH(D134,lst_tipo_id,0)),"Tipo não cadastrado em Listas"))</f>
        <v/>
      </c>
      <c r="F134" s="36" t="n"/>
      <c r="G134" s="36" t="n"/>
      <c r="H134" s="36" t="n"/>
      <c r="I134" s="39" t="n"/>
      <c r="J134" s="38">
        <f>IF(OR(B134="",D134="",H134="",I134=""),"",IF(B134=H134&amp;"-"&amp;IFERROR(INDEX(lst_tipo_sigla,MATCH(D134,lst_tipo_id,0)),"???")&amp;"-"&amp;RIGHT("00"&amp;I134,3),"OK","Verificar: TAG difere de setor-sigla-número"))</f>
        <v/>
      </c>
      <c r="K134" s="39" t="n"/>
      <c r="L134" s="39" t="n"/>
      <c r="M134" s="39" t="n"/>
      <c r="N134" s="39" t="n"/>
      <c r="O134" s="39" t="n"/>
      <c r="P134" s="38">
        <f>IF(COUNTA(A134:D134)+COUNTA(F134:I134)+COUNTA(K134:O134)=0,"",IF(ISNUMBER(K134),AND(K134=INT(K134),K134&gt;=1,K134&lt;=3),FALSE)+IF(ISNUMBER(L134),AND(L134=INT(L134),L134&gt;=1,L134&lt;=3),FALSE)+IF(ISNUMBER(M134),AND(M134=INT(M134),M134&gt;=1,M134&lt;=3),FALSE)+IF(ISNUMBER(N134),AND(N134=INT(N134),N134&gt;=1,N134&lt;=3),FALSE)+IF(ISNUMBER(O134),AND(O134=INT(O134),O134&gt;=1,O134&lt;=3),FALSE))</f>
        <v/>
      </c>
      <c r="Q134" s="38">
        <f>IF(P134=5,SUM(K134:O134),"")</f>
        <v/>
      </c>
      <c r="R134" s="38">
        <f>IF(P134="","",IF(P134&lt;5,"Pendente",IF(NOT(cad_limites_ok),"Pendente",IF(K134=3,"A",IF(Q134&gt;=cad_limite_a,"A",IF(Q134&gt;=cad_limite_b,"B","C"))))))</f>
        <v/>
      </c>
      <c r="S134" s="40">
        <f>IF(P134="","",IF(A134="","Pendente: falta o ID do ativo",IF(COUNTIF(at_id,A134)&gt;1,"ERRO: ID do ativo duplicado",IF(COUNTA(K134:O134)&gt;P134,"Pendente: nota inválida (use inteiro de 1 a 3)",IF(P134&lt;5,"Pendente: falta(m) "&amp;(5-P134)&amp;" nota(s)",IF(NOT(cad_limites_ok),"Pendente: corrija os limites A/B em Critérios",IF(K134=3,"A por Segurança = 3","Classe pela soma e limites")))))))</f>
        <v/>
      </c>
    </row>
    <row r="135">
      <c r="A135" s="36" t="n"/>
      <c r="B135" s="36" t="n"/>
      <c r="C135" s="37" t="n"/>
      <c r="D135" s="36" t="n"/>
      <c r="E135" s="38">
        <f>IF(D135="","",IFERROR(INDEX(lst_tipo_nome,MATCH(D135,lst_tipo_id,0)),"Tipo não cadastrado em Listas"))</f>
        <v/>
      </c>
      <c r="F135" s="36" t="n"/>
      <c r="G135" s="36" t="n"/>
      <c r="H135" s="36" t="n"/>
      <c r="I135" s="39" t="n"/>
      <c r="J135" s="38">
        <f>IF(OR(B135="",D135="",H135="",I135=""),"",IF(B135=H135&amp;"-"&amp;IFERROR(INDEX(lst_tipo_sigla,MATCH(D135,lst_tipo_id,0)),"???")&amp;"-"&amp;RIGHT("00"&amp;I135,3),"OK","Verificar: TAG difere de setor-sigla-número"))</f>
        <v/>
      </c>
      <c r="K135" s="39" t="n"/>
      <c r="L135" s="39" t="n"/>
      <c r="M135" s="39" t="n"/>
      <c r="N135" s="39" t="n"/>
      <c r="O135" s="39" t="n"/>
      <c r="P135" s="38">
        <f>IF(COUNTA(A135:D135)+COUNTA(F135:I135)+COUNTA(K135:O135)=0,"",IF(ISNUMBER(K135),AND(K135=INT(K135),K135&gt;=1,K135&lt;=3),FALSE)+IF(ISNUMBER(L135),AND(L135=INT(L135),L135&gt;=1,L135&lt;=3),FALSE)+IF(ISNUMBER(M135),AND(M135=INT(M135),M135&gt;=1,M135&lt;=3),FALSE)+IF(ISNUMBER(N135),AND(N135=INT(N135),N135&gt;=1,N135&lt;=3),FALSE)+IF(ISNUMBER(O135),AND(O135=INT(O135),O135&gt;=1,O135&lt;=3),FALSE))</f>
        <v/>
      </c>
      <c r="Q135" s="38">
        <f>IF(P135=5,SUM(K135:O135),"")</f>
        <v/>
      </c>
      <c r="R135" s="38">
        <f>IF(P135="","",IF(P135&lt;5,"Pendente",IF(NOT(cad_limites_ok),"Pendente",IF(K135=3,"A",IF(Q135&gt;=cad_limite_a,"A",IF(Q135&gt;=cad_limite_b,"B","C"))))))</f>
        <v/>
      </c>
      <c r="S135" s="40">
        <f>IF(P135="","",IF(A135="","Pendente: falta o ID do ativo",IF(COUNTIF(at_id,A135)&gt;1,"ERRO: ID do ativo duplicado",IF(COUNTA(K135:O135)&gt;P135,"Pendente: nota inválida (use inteiro de 1 a 3)",IF(P135&lt;5,"Pendente: falta(m) "&amp;(5-P135)&amp;" nota(s)",IF(NOT(cad_limites_ok),"Pendente: corrija os limites A/B em Critérios",IF(K135=3,"A por Segurança = 3","Classe pela soma e limites")))))))</f>
        <v/>
      </c>
    </row>
    <row r="136">
      <c r="A136" s="36" t="n"/>
      <c r="B136" s="36" t="n"/>
      <c r="C136" s="37" t="n"/>
      <c r="D136" s="36" t="n"/>
      <c r="E136" s="38">
        <f>IF(D136="","",IFERROR(INDEX(lst_tipo_nome,MATCH(D136,lst_tipo_id,0)),"Tipo não cadastrado em Listas"))</f>
        <v/>
      </c>
      <c r="F136" s="36" t="n"/>
      <c r="G136" s="36" t="n"/>
      <c r="H136" s="36" t="n"/>
      <c r="I136" s="39" t="n"/>
      <c r="J136" s="38">
        <f>IF(OR(B136="",D136="",H136="",I136=""),"",IF(B136=H136&amp;"-"&amp;IFERROR(INDEX(lst_tipo_sigla,MATCH(D136,lst_tipo_id,0)),"???")&amp;"-"&amp;RIGHT("00"&amp;I136,3),"OK","Verificar: TAG difere de setor-sigla-número"))</f>
        <v/>
      </c>
      <c r="K136" s="39" t="n"/>
      <c r="L136" s="39" t="n"/>
      <c r="M136" s="39" t="n"/>
      <c r="N136" s="39" t="n"/>
      <c r="O136" s="39" t="n"/>
      <c r="P136" s="38">
        <f>IF(COUNTA(A136:D136)+COUNTA(F136:I136)+COUNTA(K136:O136)=0,"",IF(ISNUMBER(K136),AND(K136=INT(K136),K136&gt;=1,K136&lt;=3),FALSE)+IF(ISNUMBER(L136),AND(L136=INT(L136),L136&gt;=1,L136&lt;=3),FALSE)+IF(ISNUMBER(M136),AND(M136=INT(M136),M136&gt;=1,M136&lt;=3),FALSE)+IF(ISNUMBER(N136),AND(N136=INT(N136),N136&gt;=1,N136&lt;=3),FALSE)+IF(ISNUMBER(O136),AND(O136=INT(O136),O136&gt;=1,O136&lt;=3),FALSE))</f>
        <v/>
      </c>
      <c r="Q136" s="38">
        <f>IF(P136=5,SUM(K136:O136),"")</f>
        <v/>
      </c>
      <c r="R136" s="38">
        <f>IF(P136="","",IF(P136&lt;5,"Pendente",IF(NOT(cad_limites_ok),"Pendente",IF(K136=3,"A",IF(Q136&gt;=cad_limite_a,"A",IF(Q136&gt;=cad_limite_b,"B","C"))))))</f>
        <v/>
      </c>
      <c r="S136" s="40">
        <f>IF(P136="","",IF(A136="","Pendente: falta o ID do ativo",IF(COUNTIF(at_id,A136)&gt;1,"ERRO: ID do ativo duplicado",IF(COUNTA(K136:O136)&gt;P136,"Pendente: nota inválida (use inteiro de 1 a 3)",IF(P136&lt;5,"Pendente: falta(m) "&amp;(5-P136)&amp;" nota(s)",IF(NOT(cad_limites_ok),"Pendente: corrija os limites A/B em Critérios",IF(K136=3,"A por Segurança = 3","Classe pela soma e limites")))))))</f>
        <v/>
      </c>
    </row>
    <row r="137">
      <c r="A137" s="36" t="n"/>
      <c r="B137" s="36" t="n"/>
      <c r="C137" s="37" t="n"/>
      <c r="D137" s="36" t="n"/>
      <c r="E137" s="38">
        <f>IF(D137="","",IFERROR(INDEX(lst_tipo_nome,MATCH(D137,lst_tipo_id,0)),"Tipo não cadastrado em Listas"))</f>
        <v/>
      </c>
      <c r="F137" s="36" t="n"/>
      <c r="G137" s="36" t="n"/>
      <c r="H137" s="36" t="n"/>
      <c r="I137" s="39" t="n"/>
      <c r="J137" s="38">
        <f>IF(OR(B137="",D137="",H137="",I137=""),"",IF(B137=H137&amp;"-"&amp;IFERROR(INDEX(lst_tipo_sigla,MATCH(D137,lst_tipo_id,0)),"???")&amp;"-"&amp;RIGHT("00"&amp;I137,3),"OK","Verificar: TAG difere de setor-sigla-número"))</f>
        <v/>
      </c>
      <c r="K137" s="39" t="n"/>
      <c r="L137" s="39" t="n"/>
      <c r="M137" s="39" t="n"/>
      <c r="N137" s="39" t="n"/>
      <c r="O137" s="39" t="n"/>
      <c r="P137" s="38">
        <f>IF(COUNTA(A137:D137)+COUNTA(F137:I137)+COUNTA(K137:O137)=0,"",IF(ISNUMBER(K137),AND(K137=INT(K137),K137&gt;=1,K137&lt;=3),FALSE)+IF(ISNUMBER(L137),AND(L137=INT(L137),L137&gt;=1,L137&lt;=3),FALSE)+IF(ISNUMBER(M137),AND(M137=INT(M137),M137&gt;=1,M137&lt;=3),FALSE)+IF(ISNUMBER(N137),AND(N137=INT(N137),N137&gt;=1,N137&lt;=3),FALSE)+IF(ISNUMBER(O137),AND(O137=INT(O137),O137&gt;=1,O137&lt;=3),FALSE))</f>
        <v/>
      </c>
      <c r="Q137" s="38">
        <f>IF(P137=5,SUM(K137:O137),"")</f>
        <v/>
      </c>
      <c r="R137" s="38">
        <f>IF(P137="","",IF(P137&lt;5,"Pendente",IF(NOT(cad_limites_ok),"Pendente",IF(K137=3,"A",IF(Q137&gt;=cad_limite_a,"A",IF(Q137&gt;=cad_limite_b,"B","C"))))))</f>
        <v/>
      </c>
      <c r="S137" s="40">
        <f>IF(P137="","",IF(A137="","Pendente: falta o ID do ativo",IF(COUNTIF(at_id,A137)&gt;1,"ERRO: ID do ativo duplicado",IF(COUNTA(K137:O137)&gt;P137,"Pendente: nota inválida (use inteiro de 1 a 3)",IF(P137&lt;5,"Pendente: falta(m) "&amp;(5-P137)&amp;" nota(s)",IF(NOT(cad_limites_ok),"Pendente: corrija os limites A/B em Critérios",IF(K137=3,"A por Segurança = 3","Classe pela soma e limites")))))))</f>
        <v/>
      </c>
    </row>
    <row r="138">
      <c r="A138" s="36" t="n"/>
      <c r="B138" s="36" t="n"/>
      <c r="C138" s="37" t="n"/>
      <c r="D138" s="36" t="n"/>
      <c r="E138" s="38">
        <f>IF(D138="","",IFERROR(INDEX(lst_tipo_nome,MATCH(D138,lst_tipo_id,0)),"Tipo não cadastrado em Listas"))</f>
        <v/>
      </c>
      <c r="F138" s="36" t="n"/>
      <c r="G138" s="36" t="n"/>
      <c r="H138" s="36" t="n"/>
      <c r="I138" s="39" t="n"/>
      <c r="J138" s="38">
        <f>IF(OR(B138="",D138="",H138="",I138=""),"",IF(B138=H138&amp;"-"&amp;IFERROR(INDEX(lst_tipo_sigla,MATCH(D138,lst_tipo_id,0)),"???")&amp;"-"&amp;RIGHT("00"&amp;I138,3),"OK","Verificar: TAG difere de setor-sigla-número"))</f>
        <v/>
      </c>
      <c r="K138" s="39" t="n"/>
      <c r="L138" s="39" t="n"/>
      <c r="M138" s="39" t="n"/>
      <c r="N138" s="39" t="n"/>
      <c r="O138" s="39" t="n"/>
      <c r="P138" s="38">
        <f>IF(COUNTA(A138:D138)+COUNTA(F138:I138)+COUNTA(K138:O138)=0,"",IF(ISNUMBER(K138),AND(K138=INT(K138),K138&gt;=1,K138&lt;=3),FALSE)+IF(ISNUMBER(L138),AND(L138=INT(L138),L138&gt;=1,L138&lt;=3),FALSE)+IF(ISNUMBER(M138),AND(M138=INT(M138),M138&gt;=1,M138&lt;=3),FALSE)+IF(ISNUMBER(N138),AND(N138=INT(N138),N138&gt;=1,N138&lt;=3),FALSE)+IF(ISNUMBER(O138),AND(O138=INT(O138),O138&gt;=1,O138&lt;=3),FALSE))</f>
        <v/>
      </c>
      <c r="Q138" s="38">
        <f>IF(P138=5,SUM(K138:O138),"")</f>
        <v/>
      </c>
      <c r="R138" s="38">
        <f>IF(P138="","",IF(P138&lt;5,"Pendente",IF(NOT(cad_limites_ok),"Pendente",IF(K138=3,"A",IF(Q138&gt;=cad_limite_a,"A",IF(Q138&gt;=cad_limite_b,"B","C"))))))</f>
        <v/>
      </c>
      <c r="S138" s="40">
        <f>IF(P138="","",IF(A138="","Pendente: falta o ID do ativo",IF(COUNTIF(at_id,A138)&gt;1,"ERRO: ID do ativo duplicado",IF(COUNTA(K138:O138)&gt;P138,"Pendente: nota inválida (use inteiro de 1 a 3)",IF(P138&lt;5,"Pendente: falta(m) "&amp;(5-P138)&amp;" nota(s)",IF(NOT(cad_limites_ok),"Pendente: corrija os limites A/B em Critérios",IF(K138=3,"A por Segurança = 3","Classe pela soma e limites")))))))</f>
        <v/>
      </c>
    </row>
    <row r="139">
      <c r="A139" s="36" t="n"/>
      <c r="B139" s="36" t="n"/>
      <c r="C139" s="37" t="n"/>
      <c r="D139" s="36" t="n"/>
      <c r="E139" s="38">
        <f>IF(D139="","",IFERROR(INDEX(lst_tipo_nome,MATCH(D139,lst_tipo_id,0)),"Tipo não cadastrado em Listas"))</f>
        <v/>
      </c>
      <c r="F139" s="36" t="n"/>
      <c r="G139" s="36" t="n"/>
      <c r="H139" s="36" t="n"/>
      <c r="I139" s="39" t="n"/>
      <c r="J139" s="38">
        <f>IF(OR(B139="",D139="",H139="",I139=""),"",IF(B139=H139&amp;"-"&amp;IFERROR(INDEX(lst_tipo_sigla,MATCH(D139,lst_tipo_id,0)),"???")&amp;"-"&amp;RIGHT("00"&amp;I139,3),"OK","Verificar: TAG difere de setor-sigla-número"))</f>
        <v/>
      </c>
      <c r="K139" s="39" t="n"/>
      <c r="L139" s="39" t="n"/>
      <c r="M139" s="39" t="n"/>
      <c r="N139" s="39" t="n"/>
      <c r="O139" s="39" t="n"/>
      <c r="P139" s="38">
        <f>IF(COUNTA(A139:D139)+COUNTA(F139:I139)+COUNTA(K139:O139)=0,"",IF(ISNUMBER(K139),AND(K139=INT(K139),K139&gt;=1,K139&lt;=3),FALSE)+IF(ISNUMBER(L139),AND(L139=INT(L139),L139&gt;=1,L139&lt;=3),FALSE)+IF(ISNUMBER(M139),AND(M139=INT(M139),M139&gt;=1,M139&lt;=3),FALSE)+IF(ISNUMBER(N139),AND(N139=INT(N139),N139&gt;=1,N139&lt;=3),FALSE)+IF(ISNUMBER(O139),AND(O139=INT(O139),O139&gt;=1,O139&lt;=3),FALSE))</f>
        <v/>
      </c>
      <c r="Q139" s="38">
        <f>IF(P139=5,SUM(K139:O139),"")</f>
        <v/>
      </c>
      <c r="R139" s="38">
        <f>IF(P139="","",IF(P139&lt;5,"Pendente",IF(NOT(cad_limites_ok),"Pendente",IF(K139=3,"A",IF(Q139&gt;=cad_limite_a,"A",IF(Q139&gt;=cad_limite_b,"B","C"))))))</f>
        <v/>
      </c>
      <c r="S139" s="40">
        <f>IF(P139="","",IF(A139="","Pendente: falta o ID do ativo",IF(COUNTIF(at_id,A139)&gt;1,"ERRO: ID do ativo duplicado",IF(COUNTA(K139:O139)&gt;P139,"Pendente: nota inválida (use inteiro de 1 a 3)",IF(P139&lt;5,"Pendente: falta(m) "&amp;(5-P139)&amp;" nota(s)",IF(NOT(cad_limites_ok),"Pendente: corrija os limites A/B em Critérios",IF(K139=3,"A por Segurança = 3","Classe pela soma e limites")))))))</f>
        <v/>
      </c>
    </row>
    <row r="140">
      <c r="A140" s="36" t="n"/>
      <c r="B140" s="36" t="n"/>
      <c r="C140" s="37" t="n"/>
      <c r="D140" s="36" t="n"/>
      <c r="E140" s="38">
        <f>IF(D140="","",IFERROR(INDEX(lst_tipo_nome,MATCH(D140,lst_tipo_id,0)),"Tipo não cadastrado em Listas"))</f>
        <v/>
      </c>
      <c r="F140" s="36" t="n"/>
      <c r="G140" s="36" t="n"/>
      <c r="H140" s="36" t="n"/>
      <c r="I140" s="39" t="n"/>
      <c r="J140" s="38">
        <f>IF(OR(B140="",D140="",H140="",I140=""),"",IF(B140=H140&amp;"-"&amp;IFERROR(INDEX(lst_tipo_sigla,MATCH(D140,lst_tipo_id,0)),"???")&amp;"-"&amp;RIGHT("00"&amp;I140,3),"OK","Verificar: TAG difere de setor-sigla-número"))</f>
        <v/>
      </c>
      <c r="K140" s="39" t="n"/>
      <c r="L140" s="39" t="n"/>
      <c r="M140" s="39" t="n"/>
      <c r="N140" s="39" t="n"/>
      <c r="O140" s="39" t="n"/>
      <c r="P140" s="38">
        <f>IF(COUNTA(A140:D140)+COUNTA(F140:I140)+COUNTA(K140:O140)=0,"",IF(ISNUMBER(K140),AND(K140=INT(K140),K140&gt;=1,K140&lt;=3),FALSE)+IF(ISNUMBER(L140),AND(L140=INT(L140),L140&gt;=1,L140&lt;=3),FALSE)+IF(ISNUMBER(M140),AND(M140=INT(M140),M140&gt;=1,M140&lt;=3),FALSE)+IF(ISNUMBER(N140),AND(N140=INT(N140),N140&gt;=1,N140&lt;=3),FALSE)+IF(ISNUMBER(O140),AND(O140=INT(O140),O140&gt;=1,O140&lt;=3),FALSE))</f>
        <v/>
      </c>
      <c r="Q140" s="38">
        <f>IF(P140=5,SUM(K140:O140),"")</f>
        <v/>
      </c>
      <c r="R140" s="38">
        <f>IF(P140="","",IF(P140&lt;5,"Pendente",IF(NOT(cad_limites_ok),"Pendente",IF(K140=3,"A",IF(Q140&gt;=cad_limite_a,"A",IF(Q140&gt;=cad_limite_b,"B","C"))))))</f>
        <v/>
      </c>
      <c r="S140" s="40">
        <f>IF(P140="","",IF(A140="","Pendente: falta o ID do ativo",IF(COUNTIF(at_id,A140)&gt;1,"ERRO: ID do ativo duplicado",IF(COUNTA(K140:O140)&gt;P140,"Pendente: nota inválida (use inteiro de 1 a 3)",IF(P140&lt;5,"Pendente: falta(m) "&amp;(5-P140)&amp;" nota(s)",IF(NOT(cad_limites_ok),"Pendente: corrija os limites A/B em Critérios",IF(K140=3,"A por Segurança = 3","Classe pela soma e limites")))))))</f>
        <v/>
      </c>
    </row>
    <row r="141">
      <c r="A141" s="36" t="n"/>
      <c r="B141" s="36" t="n"/>
      <c r="C141" s="37" t="n"/>
      <c r="D141" s="36" t="n"/>
      <c r="E141" s="38">
        <f>IF(D141="","",IFERROR(INDEX(lst_tipo_nome,MATCH(D141,lst_tipo_id,0)),"Tipo não cadastrado em Listas"))</f>
        <v/>
      </c>
      <c r="F141" s="36" t="n"/>
      <c r="G141" s="36" t="n"/>
      <c r="H141" s="36" t="n"/>
      <c r="I141" s="39" t="n"/>
      <c r="J141" s="38">
        <f>IF(OR(B141="",D141="",H141="",I141=""),"",IF(B141=H141&amp;"-"&amp;IFERROR(INDEX(lst_tipo_sigla,MATCH(D141,lst_tipo_id,0)),"???")&amp;"-"&amp;RIGHT("00"&amp;I141,3),"OK","Verificar: TAG difere de setor-sigla-número"))</f>
        <v/>
      </c>
      <c r="K141" s="39" t="n"/>
      <c r="L141" s="39" t="n"/>
      <c r="M141" s="39" t="n"/>
      <c r="N141" s="39" t="n"/>
      <c r="O141" s="39" t="n"/>
      <c r="P141" s="38">
        <f>IF(COUNTA(A141:D141)+COUNTA(F141:I141)+COUNTA(K141:O141)=0,"",IF(ISNUMBER(K141),AND(K141=INT(K141),K141&gt;=1,K141&lt;=3),FALSE)+IF(ISNUMBER(L141),AND(L141=INT(L141),L141&gt;=1,L141&lt;=3),FALSE)+IF(ISNUMBER(M141),AND(M141=INT(M141),M141&gt;=1,M141&lt;=3),FALSE)+IF(ISNUMBER(N141),AND(N141=INT(N141),N141&gt;=1,N141&lt;=3),FALSE)+IF(ISNUMBER(O141),AND(O141=INT(O141),O141&gt;=1,O141&lt;=3),FALSE))</f>
        <v/>
      </c>
      <c r="Q141" s="38">
        <f>IF(P141=5,SUM(K141:O141),"")</f>
        <v/>
      </c>
      <c r="R141" s="38">
        <f>IF(P141="","",IF(P141&lt;5,"Pendente",IF(NOT(cad_limites_ok),"Pendente",IF(K141=3,"A",IF(Q141&gt;=cad_limite_a,"A",IF(Q141&gt;=cad_limite_b,"B","C"))))))</f>
        <v/>
      </c>
      <c r="S141" s="40">
        <f>IF(P141="","",IF(A141="","Pendente: falta o ID do ativo",IF(COUNTIF(at_id,A141)&gt;1,"ERRO: ID do ativo duplicado",IF(COUNTA(K141:O141)&gt;P141,"Pendente: nota inválida (use inteiro de 1 a 3)",IF(P141&lt;5,"Pendente: falta(m) "&amp;(5-P141)&amp;" nota(s)",IF(NOT(cad_limites_ok),"Pendente: corrija os limites A/B em Critérios",IF(K141=3,"A por Segurança = 3","Classe pela soma e limites")))))))</f>
        <v/>
      </c>
    </row>
    <row r="142">
      <c r="A142" s="36" t="n"/>
      <c r="B142" s="36" t="n"/>
      <c r="C142" s="37" t="n"/>
      <c r="D142" s="36" t="n"/>
      <c r="E142" s="38">
        <f>IF(D142="","",IFERROR(INDEX(lst_tipo_nome,MATCH(D142,lst_tipo_id,0)),"Tipo não cadastrado em Listas"))</f>
        <v/>
      </c>
      <c r="F142" s="36" t="n"/>
      <c r="G142" s="36" t="n"/>
      <c r="H142" s="36" t="n"/>
      <c r="I142" s="39" t="n"/>
      <c r="J142" s="38">
        <f>IF(OR(B142="",D142="",H142="",I142=""),"",IF(B142=H142&amp;"-"&amp;IFERROR(INDEX(lst_tipo_sigla,MATCH(D142,lst_tipo_id,0)),"???")&amp;"-"&amp;RIGHT("00"&amp;I142,3),"OK","Verificar: TAG difere de setor-sigla-número"))</f>
        <v/>
      </c>
      <c r="K142" s="39" t="n"/>
      <c r="L142" s="39" t="n"/>
      <c r="M142" s="39" t="n"/>
      <c r="N142" s="39" t="n"/>
      <c r="O142" s="39" t="n"/>
      <c r="P142" s="38">
        <f>IF(COUNTA(A142:D142)+COUNTA(F142:I142)+COUNTA(K142:O142)=0,"",IF(ISNUMBER(K142),AND(K142=INT(K142),K142&gt;=1,K142&lt;=3),FALSE)+IF(ISNUMBER(L142),AND(L142=INT(L142),L142&gt;=1,L142&lt;=3),FALSE)+IF(ISNUMBER(M142),AND(M142=INT(M142),M142&gt;=1,M142&lt;=3),FALSE)+IF(ISNUMBER(N142),AND(N142=INT(N142),N142&gt;=1,N142&lt;=3),FALSE)+IF(ISNUMBER(O142),AND(O142=INT(O142),O142&gt;=1,O142&lt;=3),FALSE))</f>
        <v/>
      </c>
      <c r="Q142" s="38">
        <f>IF(P142=5,SUM(K142:O142),"")</f>
        <v/>
      </c>
      <c r="R142" s="38">
        <f>IF(P142="","",IF(P142&lt;5,"Pendente",IF(NOT(cad_limites_ok),"Pendente",IF(K142=3,"A",IF(Q142&gt;=cad_limite_a,"A",IF(Q142&gt;=cad_limite_b,"B","C"))))))</f>
        <v/>
      </c>
      <c r="S142" s="40">
        <f>IF(P142="","",IF(A142="","Pendente: falta o ID do ativo",IF(COUNTIF(at_id,A142)&gt;1,"ERRO: ID do ativo duplicado",IF(COUNTA(K142:O142)&gt;P142,"Pendente: nota inválida (use inteiro de 1 a 3)",IF(P142&lt;5,"Pendente: falta(m) "&amp;(5-P142)&amp;" nota(s)",IF(NOT(cad_limites_ok),"Pendente: corrija os limites A/B em Critérios",IF(K142=3,"A por Segurança = 3","Classe pela soma e limites")))))))</f>
        <v/>
      </c>
    </row>
    <row r="143">
      <c r="A143" s="36" t="n"/>
      <c r="B143" s="36" t="n"/>
      <c r="C143" s="37" t="n"/>
      <c r="D143" s="36" t="n"/>
      <c r="E143" s="38">
        <f>IF(D143="","",IFERROR(INDEX(lst_tipo_nome,MATCH(D143,lst_tipo_id,0)),"Tipo não cadastrado em Listas"))</f>
        <v/>
      </c>
      <c r="F143" s="36" t="n"/>
      <c r="G143" s="36" t="n"/>
      <c r="H143" s="36" t="n"/>
      <c r="I143" s="39" t="n"/>
      <c r="J143" s="38">
        <f>IF(OR(B143="",D143="",H143="",I143=""),"",IF(B143=H143&amp;"-"&amp;IFERROR(INDEX(lst_tipo_sigla,MATCH(D143,lst_tipo_id,0)),"???")&amp;"-"&amp;RIGHT("00"&amp;I143,3),"OK","Verificar: TAG difere de setor-sigla-número"))</f>
        <v/>
      </c>
      <c r="K143" s="39" t="n"/>
      <c r="L143" s="39" t="n"/>
      <c r="M143" s="39" t="n"/>
      <c r="N143" s="39" t="n"/>
      <c r="O143" s="39" t="n"/>
      <c r="P143" s="38">
        <f>IF(COUNTA(A143:D143)+COUNTA(F143:I143)+COUNTA(K143:O143)=0,"",IF(ISNUMBER(K143),AND(K143=INT(K143),K143&gt;=1,K143&lt;=3),FALSE)+IF(ISNUMBER(L143),AND(L143=INT(L143),L143&gt;=1,L143&lt;=3),FALSE)+IF(ISNUMBER(M143),AND(M143=INT(M143),M143&gt;=1,M143&lt;=3),FALSE)+IF(ISNUMBER(N143),AND(N143=INT(N143),N143&gt;=1,N143&lt;=3),FALSE)+IF(ISNUMBER(O143),AND(O143=INT(O143),O143&gt;=1,O143&lt;=3),FALSE))</f>
        <v/>
      </c>
      <c r="Q143" s="38">
        <f>IF(P143=5,SUM(K143:O143),"")</f>
        <v/>
      </c>
      <c r="R143" s="38">
        <f>IF(P143="","",IF(P143&lt;5,"Pendente",IF(NOT(cad_limites_ok),"Pendente",IF(K143=3,"A",IF(Q143&gt;=cad_limite_a,"A",IF(Q143&gt;=cad_limite_b,"B","C"))))))</f>
        <v/>
      </c>
      <c r="S143" s="40">
        <f>IF(P143="","",IF(A143="","Pendente: falta o ID do ativo",IF(COUNTIF(at_id,A143)&gt;1,"ERRO: ID do ativo duplicado",IF(COUNTA(K143:O143)&gt;P143,"Pendente: nota inválida (use inteiro de 1 a 3)",IF(P143&lt;5,"Pendente: falta(m) "&amp;(5-P143)&amp;" nota(s)",IF(NOT(cad_limites_ok),"Pendente: corrija os limites A/B em Critérios",IF(K143=3,"A por Segurança = 3","Classe pela soma e limites")))))))</f>
        <v/>
      </c>
    </row>
    <row r="144">
      <c r="A144" s="36" t="n"/>
      <c r="B144" s="36" t="n"/>
      <c r="C144" s="37" t="n"/>
      <c r="D144" s="36" t="n"/>
      <c r="E144" s="38">
        <f>IF(D144="","",IFERROR(INDEX(lst_tipo_nome,MATCH(D144,lst_tipo_id,0)),"Tipo não cadastrado em Listas"))</f>
        <v/>
      </c>
      <c r="F144" s="36" t="n"/>
      <c r="G144" s="36" t="n"/>
      <c r="H144" s="36" t="n"/>
      <c r="I144" s="39" t="n"/>
      <c r="J144" s="38">
        <f>IF(OR(B144="",D144="",H144="",I144=""),"",IF(B144=H144&amp;"-"&amp;IFERROR(INDEX(lst_tipo_sigla,MATCH(D144,lst_tipo_id,0)),"???")&amp;"-"&amp;RIGHT("00"&amp;I144,3),"OK","Verificar: TAG difere de setor-sigla-número"))</f>
        <v/>
      </c>
      <c r="K144" s="39" t="n"/>
      <c r="L144" s="39" t="n"/>
      <c r="M144" s="39" t="n"/>
      <c r="N144" s="39" t="n"/>
      <c r="O144" s="39" t="n"/>
      <c r="P144" s="38">
        <f>IF(COUNTA(A144:D144)+COUNTA(F144:I144)+COUNTA(K144:O144)=0,"",IF(ISNUMBER(K144),AND(K144=INT(K144),K144&gt;=1,K144&lt;=3),FALSE)+IF(ISNUMBER(L144),AND(L144=INT(L144),L144&gt;=1,L144&lt;=3),FALSE)+IF(ISNUMBER(M144),AND(M144=INT(M144),M144&gt;=1,M144&lt;=3),FALSE)+IF(ISNUMBER(N144),AND(N144=INT(N144),N144&gt;=1,N144&lt;=3),FALSE)+IF(ISNUMBER(O144),AND(O144=INT(O144),O144&gt;=1,O144&lt;=3),FALSE))</f>
        <v/>
      </c>
      <c r="Q144" s="38">
        <f>IF(P144=5,SUM(K144:O144),"")</f>
        <v/>
      </c>
      <c r="R144" s="38">
        <f>IF(P144="","",IF(P144&lt;5,"Pendente",IF(NOT(cad_limites_ok),"Pendente",IF(K144=3,"A",IF(Q144&gt;=cad_limite_a,"A",IF(Q144&gt;=cad_limite_b,"B","C"))))))</f>
        <v/>
      </c>
      <c r="S144" s="40">
        <f>IF(P144="","",IF(A144="","Pendente: falta o ID do ativo",IF(COUNTIF(at_id,A144)&gt;1,"ERRO: ID do ativo duplicado",IF(COUNTA(K144:O144)&gt;P144,"Pendente: nota inválida (use inteiro de 1 a 3)",IF(P144&lt;5,"Pendente: falta(m) "&amp;(5-P144)&amp;" nota(s)",IF(NOT(cad_limites_ok),"Pendente: corrija os limites A/B em Critérios",IF(K144=3,"A por Segurança = 3","Classe pela soma e limites")))))))</f>
        <v/>
      </c>
    </row>
    <row r="145">
      <c r="A145" s="36" t="n"/>
      <c r="B145" s="36" t="n"/>
      <c r="C145" s="37" t="n"/>
      <c r="D145" s="36" t="n"/>
      <c r="E145" s="38">
        <f>IF(D145="","",IFERROR(INDEX(lst_tipo_nome,MATCH(D145,lst_tipo_id,0)),"Tipo não cadastrado em Listas"))</f>
        <v/>
      </c>
      <c r="F145" s="36" t="n"/>
      <c r="G145" s="36" t="n"/>
      <c r="H145" s="36" t="n"/>
      <c r="I145" s="39" t="n"/>
      <c r="J145" s="38">
        <f>IF(OR(B145="",D145="",H145="",I145=""),"",IF(B145=H145&amp;"-"&amp;IFERROR(INDEX(lst_tipo_sigla,MATCH(D145,lst_tipo_id,0)),"???")&amp;"-"&amp;RIGHT("00"&amp;I145,3),"OK","Verificar: TAG difere de setor-sigla-número"))</f>
        <v/>
      </c>
      <c r="K145" s="39" t="n"/>
      <c r="L145" s="39" t="n"/>
      <c r="M145" s="39" t="n"/>
      <c r="N145" s="39" t="n"/>
      <c r="O145" s="39" t="n"/>
      <c r="P145" s="38">
        <f>IF(COUNTA(A145:D145)+COUNTA(F145:I145)+COUNTA(K145:O145)=0,"",IF(ISNUMBER(K145),AND(K145=INT(K145),K145&gt;=1,K145&lt;=3),FALSE)+IF(ISNUMBER(L145),AND(L145=INT(L145),L145&gt;=1,L145&lt;=3),FALSE)+IF(ISNUMBER(M145),AND(M145=INT(M145),M145&gt;=1,M145&lt;=3),FALSE)+IF(ISNUMBER(N145),AND(N145=INT(N145),N145&gt;=1,N145&lt;=3),FALSE)+IF(ISNUMBER(O145),AND(O145=INT(O145),O145&gt;=1,O145&lt;=3),FALSE))</f>
        <v/>
      </c>
      <c r="Q145" s="38">
        <f>IF(P145=5,SUM(K145:O145),"")</f>
        <v/>
      </c>
      <c r="R145" s="38">
        <f>IF(P145="","",IF(P145&lt;5,"Pendente",IF(NOT(cad_limites_ok),"Pendente",IF(K145=3,"A",IF(Q145&gt;=cad_limite_a,"A",IF(Q145&gt;=cad_limite_b,"B","C"))))))</f>
        <v/>
      </c>
      <c r="S145" s="40">
        <f>IF(P145="","",IF(A145="","Pendente: falta o ID do ativo",IF(COUNTIF(at_id,A145)&gt;1,"ERRO: ID do ativo duplicado",IF(COUNTA(K145:O145)&gt;P145,"Pendente: nota inválida (use inteiro de 1 a 3)",IF(P145&lt;5,"Pendente: falta(m) "&amp;(5-P145)&amp;" nota(s)",IF(NOT(cad_limites_ok),"Pendente: corrija os limites A/B em Critérios",IF(K145=3,"A por Segurança = 3","Classe pela soma e limites")))))))</f>
        <v/>
      </c>
    </row>
    <row r="146">
      <c r="A146" s="36" t="n"/>
      <c r="B146" s="36" t="n"/>
      <c r="C146" s="37" t="n"/>
      <c r="D146" s="36" t="n"/>
      <c r="E146" s="38">
        <f>IF(D146="","",IFERROR(INDEX(lst_tipo_nome,MATCH(D146,lst_tipo_id,0)),"Tipo não cadastrado em Listas"))</f>
        <v/>
      </c>
      <c r="F146" s="36" t="n"/>
      <c r="G146" s="36" t="n"/>
      <c r="H146" s="36" t="n"/>
      <c r="I146" s="39" t="n"/>
      <c r="J146" s="38">
        <f>IF(OR(B146="",D146="",H146="",I146=""),"",IF(B146=H146&amp;"-"&amp;IFERROR(INDEX(lst_tipo_sigla,MATCH(D146,lst_tipo_id,0)),"???")&amp;"-"&amp;RIGHT("00"&amp;I146,3),"OK","Verificar: TAG difere de setor-sigla-número"))</f>
        <v/>
      </c>
      <c r="K146" s="39" t="n"/>
      <c r="L146" s="39" t="n"/>
      <c r="M146" s="39" t="n"/>
      <c r="N146" s="39" t="n"/>
      <c r="O146" s="39" t="n"/>
      <c r="P146" s="38">
        <f>IF(COUNTA(A146:D146)+COUNTA(F146:I146)+COUNTA(K146:O146)=0,"",IF(ISNUMBER(K146),AND(K146=INT(K146),K146&gt;=1,K146&lt;=3),FALSE)+IF(ISNUMBER(L146),AND(L146=INT(L146),L146&gt;=1,L146&lt;=3),FALSE)+IF(ISNUMBER(M146),AND(M146=INT(M146),M146&gt;=1,M146&lt;=3),FALSE)+IF(ISNUMBER(N146),AND(N146=INT(N146),N146&gt;=1,N146&lt;=3),FALSE)+IF(ISNUMBER(O146),AND(O146=INT(O146),O146&gt;=1,O146&lt;=3),FALSE))</f>
        <v/>
      </c>
      <c r="Q146" s="38">
        <f>IF(P146=5,SUM(K146:O146),"")</f>
        <v/>
      </c>
      <c r="R146" s="38">
        <f>IF(P146="","",IF(P146&lt;5,"Pendente",IF(NOT(cad_limites_ok),"Pendente",IF(K146=3,"A",IF(Q146&gt;=cad_limite_a,"A",IF(Q146&gt;=cad_limite_b,"B","C"))))))</f>
        <v/>
      </c>
      <c r="S146" s="40">
        <f>IF(P146="","",IF(A146="","Pendente: falta o ID do ativo",IF(COUNTIF(at_id,A146)&gt;1,"ERRO: ID do ativo duplicado",IF(COUNTA(K146:O146)&gt;P146,"Pendente: nota inválida (use inteiro de 1 a 3)",IF(P146&lt;5,"Pendente: falta(m) "&amp;(5-P146)&amp;" nota(s)",IF(NOT(cad_limites_ok),"Pendente: corrija os limites A/B em Critérios",IF(K146=3,"A por Segurança = 3","Classe pela soma e limites")))))))</f>
        <v/>
      </c>
    </row>
    <row r="147">
      <c r="A147" s="36" t="n"/>
      <c r="B147" s="36" t="n"/>
      <c r="C147" s="37" t="n"/>
      <c r="D147" s="36" t="n"/>
      <c r="E147" s="38">
        <f>IF(D147="","",IFERROR(INDEX(lst_tipo_nome,MATCH(D147,lst_tipo_id,0)),"Tipo não cadastrado em Listas"))</f>
        <v/>
      </c>
      <c r="F147" s="36" t="n"/>
      <c r="G147" s="36" t="n"/>
      <c r="H147" s="36" t="n"/>
      <c r="I147" s="39" t="n"/>
      <c r="J147" s="38">
        <f>IF(OR(B147="",D147="",H147="",I147=""),"",IF(B147=H147&amp;"-"&amp;IFERROR(INDEX(lst_tipo_sigla,MATCH(D147,lst_tipo_id,0)),"???")&amp;"-"&amp;RIGHT("00"&amp;I147,3),"OK","Verificar: TAG difere de setor-sigla-número"))</f>
        <v/>
      </c>
      <c r="K147" s="39" t="n"/>
      <c r="L147" s="39" t="n"/>
      <c r="M147" s="39" t="n"/>
      <c r="N147" s="39" t="n"/>
      <c r="O147" s="39" t="n"/>
      <c r="P147" s="38">
        <f>IF(COUNTA(A147:D147)+COUNTA(F147:I147)+COUNTA(K147:O147)=0,"",IF(ISNUMBER(K147),AND(K147=INT(K147),K147&gt;=1,K147&lt;=3),FALSE)+IF(ISNUMBER(L147),AND(L147=INT(L147),L147&gt;=1,L147&lt;=3),FALSE)+IF(ISNUMBER(M147),AND(M147=INT(M147),M147&gt;=1,M147&lt;=3),FALSE)+IF(ISNUMBER(N147),AND(N147=INT(N147),N147&gt;=1,N147&lt;=3),FALSE)+IF(ISNUMBER(O147),AND(O147=INT(O147),O147&gt;=1,O147&lt;=3),FALSE))</f>
        <v/>
      </c>
      <c r="Q147" s="38">
        <f>IF(P147=5,SUM(K147:O147),"")</f>
        <v/>
      </c>
      <c r="R147" s="38">
        <f>IF(P147="","",IF(P147&lt;5,"Pendente",IF(NOT(cad_limites_ok),"Pendente",IF(K147=3,"A",IF(Q147&gt;=cad_limite_a,"A",IF(Q147&gt;=cad_limite_b,"B","C"))))))</f>
        <v/>
      </c>
      <c r="S147" s="40">
        <f>IF(P147="","",IF(A147="","Pendente: falta o ID do ativo",IF(COUNTIF(at_id,A147)&gt;1,"ERRO: ID do ativo duplicado",IF(COUNTA(K147:O147)&gt;P147,"Pendente: nota inválida (use inteiro de 1 a 3)",IF(P147&lt;5,"Pendente: falta(m) "&amp;(5-P147)&amp;" nota(s)",IF(NOT(cad_limites_ok),"Pendente: corrija os limites A/B em Critérios",IF(K147=3,"A por Segurança = 3","Classe pela soma e limites")))))))</f>
        <v/>
      </c>
    </row>
    <row r="148">
      <c r="A148" s="36" t="n"/>
      <c r="B148" s="36" t="n"/>
      <c r="C148" s="37" t="n"/>
      <c r="D148" s="36" t="n"/>
      <c r="E148" s="38">
        <f>IF(D148="","",IFERROR(INDEX(lst_tipo_nome,MATCH(D148,lst_tipo_id,0)),"Tipo não cadastrado em Listas"))</f>
        <v/>
      </c>
      <c r="F148" s="36" t="n"/>
      <c r="G148" s="36" t="n"/>
      <c r="H148" s="36" t="n"/>
      <c r="I148" s="39" t="n"/>
      <c r="J148" s="38">
        <f>IF(OR(B148="",D148="",H148="",I148=""),"",IF(B148=H148&amp;"-"&amp;IFERROR(INDEX(lst_tipo_sigla,MATCH(D148,lst_tipo_id,0)),"???")&amp;"-"&amp;RIGHT("00"&amp;I148,3),"OK","Verificar: TAG difere de setor-sigla-número"))</f>
        <v/>
      </c>
      <c r="K148" s="39" t="n"/>
      <c r="L148" s="39" t="n"/>
      <c r="M148" s="39" t="n"/>
      <c r="N148" s="39" t="n"/>
      <c r="O148" s="39" t="n"/>
      <c r="P148" s="38">
        <f>IF(COUNTA(A148:D148)+COUNTA(F148:I148)+COUNTA(K148:O148)=0,"",IF(ISNUMBER(K148),AND(K148=INT(K148),K148&gt;=1,K148&lt;=3),FALSE)+IF(ISNUMBER(L148),AND(L148=INT(L148),L148&gt;=1,L148&lt;=3),FALSE)+IF(ISNUMBER(M148),AND(M148=INT(M148),M148&gt;=1,M148&lt;=3),FALSE)+IF(ISNUMBER(N148),AND(N148=INT(N148),N148&gt;=1,N148&lt;=3),FALSE)+IF(ISNUMBER(O148),AND(O148=INT(O148),O148&gt;=1,O148&lt;=3),FALSE))</f>
        <v/>
      </c>
      <c r="Q148" s="38">
        <f>IF(P148=5,SUM(K148:O148),"")</f>
        <v/>
      </c>
      <c r="R148" s="38">
        <f>IF(P148="","",IF(P148&lt;5,"Pendente",IF(NOT(cad_limites_ok),"Pendente",IF(K148=3,"A",IF(Q148&gt;=cad_limite_a,"A",IF(Q148&gt;=cad_limite_b,"B","C"))))))</f>
        <v/>
      </c>
      <c r="S148" s="40">
        <f>IF(P148="","",IF(A148="","Pendente: falta o ID do ativo",IF(COUNTIF(at_id,A148)&gt;1,"ERRO: ID do ativo duplicado",IF(COUNTA(K148:O148)&gt;P148,"Pendente: nota inválida (use inteiro de 1 a 3)",IF(P148&lt;5,"Pendente: falta(m) "&amp;(5-P148)&amp;" nota(s)",IF(NOT(cad_limites_ok),"Pendente: corrija os limites A/B em Critérios",IF(K148=3,"A por Segurança = 3","Classe pela soma e limites")))))))</f>
        <v/>
      </c>
    </row>
    <row r="149">
      <c r="A149" s="36" t="n"/>
      <c r="B149" s="36" t="n"/>
      <c r="C149" s="37" t="n"/>
      <c r="D149" s="36" t="n"/>
      <c r="E149" s="38">
        <f>IF(D149="","",IFERROR(INDEX(lst_tipo_nome,MATCH(D149,lst_tipo_id,0)),"Tipo não cadastrado em Listas"))</f>
        <v/>
      </c>
      <c r="F149" s="36" t="n"/>
      <c r="G149" s="36" t="n"/>
      <c r="H149" s="36" t="n"/>
      <c r="I149" s="39" t="n"/>
      <c r="J149" s="38">
        <f>IF(OR(B149="",D149="",H149="",I149=""),"",IF(B149=H149&amp;"-"&amp;IFERROR(INDEX(lst_tipo_sigla,MATCH(D149,lst_tipo_id,0)),"???")&amp;"-"&amp;RIGHT("00"&amp;I149,3),"OK","Verificar: TAG difere de setor-sigla-número"))</f>
        <v/>
      </c>
      <c r="K149" s="39" t="n"/>
      <c r="L149" s="39" t="n"/>
      <c r="M149" s="39" t="n"/>
      <c r="N149" s="39" t="n"/>
      <c r="O149" s="39" t="n"/>
      <c r="P149" s="38">
        <f>IF(COUNTA(A149:D149)+COUNTA(F149:I149)+COUNTA(K149:O149)=0,"",IF(ISNUMBER(K149),AND(K149=INT(K149),K149&gt;=1,K149&lt;=3),FALSE)+IF(ISNUMBER(L149),AND(L149=INT(L149),L149&gt;=1,L149&lt;=3),FALSE)+IF(ISNUMBER(M149),AND(M149=INT(M149),M149&gt;=1,M149&lt;=3),FALSE)+IF(ISNUMBER(N149),AND(N149=INT(N149),N149&gt;=1,N149&lt;=3),FALSE)+IF(ISNUMBER(O149),AND(O149=INT(O149),O149&gt;=1,O149&lt;=3),FALSE))</f>
        <v/>
      </c>
      <c r="Q149" s="38">
        <f>IF(P149=5,SUM(K149:O149),"")</f>
        <v/>
      </c>
      <c r="R149" s="38">
        <f>IF(P149="","",IF(P149&lt;5,"Pendente",IF(NOT(cad_limites_ok),"Pendente",IF(K149=3,"A",IF(Q149&gt;=cad_limite_a,"A",IF(Q149&gt;=cad_limite_b,"B","C"))))))</f>
        <v/>
      </c>
      <c r="S149" s="40">
        <f>IF(P149="","",IF(A149="","Pendente: falta o ID do ativo",IF(COUNTIF(at_id,A149)&gt;1,"ERRO: ID do ativo duplicado",IF(COUNTA(K149:O149)&gt;P149,"Pendente: nota inválida (use inteiro de 1 a 3)",IF(P149&lt;5,"Pendente: falta(m) "&amp;(5-P149)&amp;" nota(s)",IF(NOT(cad_limites_ok),"Pendente: corrija os limites A/B em Critérios",IF(K149=3,"A por Segurança = 3","Classe pela soma e limites")))))))</f>
        <v/>
      </c>
    </row>
    <row r="150">
      <c r="A150" s="36" t="n"/>
      <c r="B150" s="36" t="n"/>
      <c r="C150" s="37" t="n"/>
      <c r="D150" s="36" t="n"/>
      <c r="E150" s="38">
        <f>IF(D150="","",IFERROR(INDEX(lst_tipo_nome,MATCH(D150,lst_tipo_id,0)),"Tipo não cadastrado em Listas"))</f>
        <v/>
      </c>
      <c r="F150" s="36" t="n"/>
      <c r="G150" s="36" t="n"/>
      <c r="H150" s="36" t="n"/>
      <c r="I150" s="39" t="n"/>
      <c r="J150" s="38">
        <f>IF(OR(B150="",D150="",H150="",I150=""),"",IF(B150=H150&amp;"-"&amp;IFERROR(INDEX(lst_tipo_sigla,MATCH(D150,lst_tipo_id,0)),"???")&amp;"-"&amp;RIGHT("00"&amp;I150,3),"OK","Verificar: TAG difere de setor-sigla-número"))</f>
        <v/>
      </c>
      <c r="K150" s="39" t="n"/>
      <c r="L150" s="39" t="n"/>
      <c r="M150" s="39" t="n"/>
      <c r="N150" s="39" t="n"/>
      <c r="O150" s="39" t="n"/>
      <c r="P150" s="38">
        <f>IF(COUNTA(A150:D150)+COUNTA(F150:I150)+COUNTA(K150:O150)=0,"",IF(ISNUMBER(K150),AND(K150=INT(K150),K150&gt;=1,K150&lt;=3),FALSE)+IF(ISNUMBER(L150),AND(L150=INT(L150),L150&gt;=1,L150&lt;=3),FALSE)+IF(ISNUMBER(M150),AND(M150=INT(M150),M150&gt;=1,M150&lt;=3),FALSE)+IF(ISNUMBER(N150),AND(N150=INT(N150),N150&gt;=1,N150&lt;=3),FALSE)+IF(ISNUMBER(O150),AND(O150=INT(O150),O150&gt;=1,O150&lt;=3),FALSE))</f>
        <v/>
      </c>
      <c r="Q150" s="38">
        <f>IF(P150=5,SUM(K150:O150),"")</f>
        <v/>
      </c>
      <c r="R150" s="38">
        <f>IF(P150="","",IF(P150&lt;5,"Pendente",IF(NOT(cad_limites_ok),"Pendente",IF(K150=3,"A",IF(Q150&gt;=cad_limite_a,"A",IF(Q150&gt;=cad_limite_b,"B","C"))))))</f>
        <v/>
      </c>
      <c r="S150" s="40">
        <f>IF(P150="","",IF(A150="","Pendente: falta o ID do ativo",IF(COUNTIF(at_id,A150)&gt;1,"ERRO: ID do ativo duplicado",IF(COUNTA(K150:O150)&gt;P150,"Pendente: nota inválida (use inteiro de 1 a 3)",IF(P150&lt;5,"Pendente: falta(m) "&amp;(5-P150)&amp;" nota(s)",IF(NOT(cad_limites_ok),"Pendente: corrija os limites A/B em Critérios",IF(K150=3,"A por Segurança = 3","Classe pela soma e limites")))))))</f>
        <v/>
      </c>
    </row>
    <row r="151">
      <c r="A151" s="36" t="n"/>
      <c r="B151" s="36" t="n"/>
      <c r="C151" s="37" t="n"/>
      <c r="D151" s="36" t="n"/>
      <c r="E151" s="38">
        <f>IF(D151="","",IFERROR(INDEX(lst_tipo_nome,MATCH(D151,lst_tipo_id,0)),"Tipo não cadastrado em Listas"))</f>
        <v/>
      </c>
      <c r="F151" s="36" t="n"/>
      <c r="G151" s="36" t="n"/>
      <c r="H151" s="36" t="n"/>
      <c r="I151" s="39" t="n"/>
      <c r="J151" s="38">
        <f>IF(OR(B151="",D151="",H151="",I151=""),"",IF(B151=H151&amp;"-"&amp;IFERROR(INDEX(lst_tipo_sigla,MATCH(D151,lst_tipo_id,0)),"???")&amp;"-"&amp;RIGHT("00"&amp;I151,3),"OK","Verificar: TAG difere de setor-sigla-número"))</f>
        <v/>
      </c>
      <c r="K151" s="39" t="n"/>
      <c r="L151" s="39" t="n"/>
      <c r="M151" s="39" t="n"/>
      <c r="N151" s="39" t="n"/>
      <c r="O151" s="39" t="n"/>
      <c r="P151" s="38">
        <f>IF(COUNTA(A151:D151)+COUNTA(F151:I151)+COUNTA(K151:O151)=0,"",IF(ISNUMBER(K151),AND(K151=INT(K151),K151&gt;=1,K151&lt;=3),FALSE)+IF(ISNUMBER(L151),AND(L151=INT(L151),L151&gt;=1,L151&lt;=3),FALSE)+IF(ISNUMBER(M151),AND(M151=INT(M151),M151&gt;=1,M151&lt;=3),FALSE)+IF(ISNUMBER(N151),AND(N151=INT(N151),N151&gt;=1,N151&lt;=3),FALSE)+IF(ISNUMBER(O151),AND(O151=INT(O151),O151&gt;=1,O151&lt;=3),FALSE))</f>
        <v/>
      </c>
      <c r="Q151" s="38">
        <f>IF(P151=5,SUM(K151:O151),"")</f>
        <v/>
      </c>
      <c r="R151" s="38">
        <f>IF(P151="","",IF(P151&lt;5,"Pendente",IF(NOT(cad_limites_ok),"Pendente",IF(K151=3,"A",IF(Q151&gt;=cad_limite_a,"A",IF(Q151&gt;=cad_limite_b,"B","C"))))))</f>
        <v/>
      </c>
      <c r="S151" s="40">
        <f>IF(P151="","",IF(A151="","Pendente: falta o ID do ativo",IF(COUNTIF(at_id,A151)&gt;1,"ERRO: ID do ativo duplicado",IF(COUNTA(K151:O151)&gt;P151,"Pendente: nota inválida (use inteiro de 1 a 3)",IF(P151&lt;5,"Pendente: falta(m) "&amp;(5-P151)&amp;" nota(s)",IF(NOT(cad_limites_ok),"Pendente: corrija os limites A/B em Critérios",IF(K151=3,"A por Segurança = 3","Classe pela soma e limites")))))))</f>
        <v/>
      </c>
    </row>
    <row r="152">
      <c r="A152" s="36" t="n"/>
      <c r="B152" s="36" t="n"/>
      <c r="C152" s="37" t="n"/>
      <c r="D152" s="36" t="n"/>
      <c r="E152" s="38">
        <f>IF(D152="","",IFERROR(INDEX(lst_tipo_nome,MATCH(D152,lst_tipo_id,0)),"Tipo não cadastrado em Listas"))</f>
        <v/>
      </c>
      <c r="F152" s="36" t="n"/>
      <c r="G152" s="36" t="n"/>
      <c r="H152" s="36" t="n"/>
      <c r="I152" s="39" t="n"/>
      <c r="J152" s="38">
        <f>IF(OR(B152="",D152="",H152="",I152=""),"",IF(B152=H152&amp;"-"&amp;IFERROR(INDEX(lst_tipo_sigla,MATCH(D152,lst_tipo_id,0)),"???")&amp;"-"&amp;RIGHT("00"&amp;I152,3),"OK","Verificar: TAG difere de setor-sigla-número"))</f>
        <v/>
      </c>
      <c r="K152" s="39" t="n"/>
      <c r="L152" s="39" t="n"/>
      <c r="M152" s="39" t="n"/>
      <c r="N152" s="39" t="n"/>
      <c r="O152" s="39" t="n"/>
      <c r="P152" s="38">
        <f>IF(COUNTA(A152:D152)+COUNTA(F152:I152)+COUNTA(K152:O152)=0,"",IF(ISNUMBER(K152),AND(K152=INT(K152),K152&gt;=1,K152&lt;=3),FALSE)+IF(ISNUMBER(L152),AND(L152=INT(L152),L152&gt;=1,L152&lt;=3),FALSE)+IF(ISNUMBER(M152),AND(M152=INT(M152),M152&gt;=1,M152&lt;=3),FALSE)+IF(ISNUMBER(N152),AND(N152=INT(N152),N152&gt;=1,N152&lt;=3),FALSE)+IF(ISNUMBER(O152),AND(O152=INT(O152),O152&gt;=1,O152&lt;=3),FALSE))</f>
        <v/>
      </c>
      <c r="Q152" s="38">
        <f>IF(P152=5,SUM(K152:O152),"")</f>
        <v/>
      </c>
      <c r="R152" s="38">
        <f>IF(P152="","",IF(P152&lt;5,"Pendente",IF(NOT(cad_limites_ok),"Pendente",IF(K152=3,"A",IF(Q152&gt;=cad_limite_a,"A",IF(Q152&gt;=cad_limite_b,"B","C"))))))</f>
        <v/>
      </c>
      <c r="S152" s="40">
        <f>IF(P152="","",IF(A152="","Pendente: falta o ID do ativo",IF(COUNTIF(at_id,A152)&gt;1,"ERRO: ID do ativo duplicado",IF(COUNTA(K152:O152)&gt;P152,"Pendente: nota inválida (use inteiro de 1 a 3)",IF(P152&lt;5,"Pendente: falta(m) "&amp;(5-P152)&amp;" nota(s)",IF(NOT(cad_limites_ok),"Pendente: corrija os limites A/B em Critérios",IF(K152=3,"A por Segurança = 3","Classe pela soma e limites")))))))</f>
        <v/>
      </c>
    </row>
    <row r="153">
      <c r="A153" s="36" t="n"/>
      <c r="B153" s="36" t="n"/>
      <c r="C153" s="37" t="n"/>
      <c r="D153" s="36" t="n"/>
      <c r="E153" s="38">
        <f>IF(D153="","",IFERROR(INDEX(lst_tipo_nome,MATCH(D153,lst_tipo_id,0)),"Tipo não cadastrado em Listas"))</f>
        <v/>
      </c>
      <c r="F153" s="36" t="n"/>
      <c r="G153" s="36" t="n"/>
      <c r="H153" s="36" t="n"/>
      <c r="I153" s="39" t="n"/>
      <c r="J153" s="38">
        <f>IF(OR(B153="",D153="",H153="",I153=""),"",IF(B153=H153&amp;"-"&amp;IFERROR(INDEX(lst_tipo_sigla,MATCH(D153,lst_tipo_id,0)),"???")&amp;"-"&amp;RIGHT("00"&amp;I153,3),"OK","Verificar: TAG difere de setor-sigla-número"))</f>
        <v/>
      </c>
      <c r="K153" s="39" t="n"/>
      <c r="L153" s="39" t="n"/>
      <c r="M153" s="39" t="n"/>
      <c r="N153" s="39" t="n"/>
      <c r="O153" s="39" t="n"/>
      <c r="P153" s="38">
        <f>IF(COUNTA(A153:D153)+COUNTA(F153:I153)+COUNTA(K153:O153)=0,"",IF(ISNUMBER(K153),AND(K153=INT(K153),K153&gt;=1,K153&lt;=3),FALSE)+IF(ISNUMBER(L153),AND(L153=INT(L153),L153&gt;=1,L153&lt;=3),FALSE)+IF(ISNUMBER(M153),AND(M153=INT(M153),M153&gt;=1,M153&lt;=3),FALSE)+IF(ISNUMBER(N153),AND(N153=INT(N153),N153&gt;=1,N153&lt;=3),FALSE)+IF(ISNUMBER(O153),AND(O153=INT(O153),O153&gt;=1,O153&lt;=3),FALSE))</f>
        <v/>
      </c>
      <c r="Q153" s="38">
        <f>IF(P153=5,SUM(K153:O153),"")</f>
        <v/>
      </c>
      <c r="R153" s="38">
        <f>IF(P153="","",IF(P153&lt;5,"Pendente",IF(NOT(cad_limites_ok),"Pendente",IF(K153=3,"A",IF(Q153&gt;=cad_limite_a,"A",IF(Q153&gt;=cad_limite_b,"B","C"))))))</f>
        <v/>
      </c>
      <c r="S153" s="40">
        <f>IF(P153="","",IF(A153="","Pendente: falta o ID do ativo",IF(COUNTIF(at_id,A153)&gt;1,"ERRO: ID do ativo duplicado",IF(COUNTA(K153:O153)&gt;P153,"Pendente: nota inválida (use inteiro de 1 a 3)",IF(P153&lt;5,"Pendente: falta(m) "&amp;(5-P153)&amp;" nota(s)",IF(NOT(cad_limites_ok),"Pendente: corrija os limites A/B em Critérios",IF(K153=3,"A por Segurança = 3","Classe pela soma e limites")))))))</f>
        <v/>
      </c>
    </row>
    <row r="154">
      <c r="A154" s="36" t="n"/>
      <c r="B154" s="36" t="n"/>
      <c r="C154" s="37" t="n"/>
      <c r="D154" s="36" t="n"/>
      <c r="E154" s="38">
        <f>IF(D154="","",IFERROR(INDEX(lst_tipo_nome,MATCH(D154,lst_tipo_id,0)),"Tipo não cadastrado em Listas"))</f>
        <v/>
      </c>
      <c r="F154" s="36" t="n"/>
      <c r="G154" s="36" t="n"/>
      <c r="H154" s="36" t="n"/>
      <c r="I154" s="39" t="n"/>
      <c r="J154" s="38">
        <f>IF(OR(B154="",D154="",H154="",I154=""),"",IF(B154=H154&amp;"-"&amp;IFERROR(INDEX(lst_tipo_sigla,MATCH(D154,lst_tipo_id,0)),"???")&amp;"-"&amp;RIGHT("00"&amp;I154,3),"OK","Verificar: TAG difere de setor-sigla-número"))</f>
        <v/>
      </c>
      <c r="K154" s="39" t="n"/>
      <c r="L154" s="39" t="n"/>
      <c r="M154" s="39" t="n"/>
      <c r="N154" s="39" t="n"/>
      <c r="O154" s="39" t="n"/>
      <c r="P154" s="38">
        <f>IF(COUNTA(A154:D154)+COUNTA(F154:I154)+COUNTA(K154:O154)=0,"",IF(ISNUMBER(K154),AND(K154=INT(K154),K154&gt;=1,K154&lt;=3),FALSE)+IF(ISNUMBER(L154),AND(L154=INT(L154),L154&gt;=1,L154&lt;=3),FALSE)+IF(ISNUMBER(M154),AND(M154=INT(M154),M154&gt;=1,M154&lt;=3),FALSE)+IF(ISNUMBER(N154),AND(N154=INT(N154),N154&gt;=1,N154&lt;=3),FALSE)+IF(ISNUMBER(O154),AND(O154=INT(O154),O154&gt;=1,O154&lt;=3),FALSE))</f>
        <v/>
      </c>
      <c r="Q154" s="38">
        <f>IF(P154=5,SUM(K154:O154),"")</f>
        <v/>
      </c>
      <c r="R154" s="38">
        <f>IF(P154="","",IF(P154&lt;5,"Pendente",IF(NOT(cad_limites_ok),"Pendente",IF(K154=3,"A",IF(Q154&gt;=cad_limite_a,"A",IF(Q154&gt;=cad_limite_b,"B","C"))))))</f>
        <v/>
      </c>
      <c r="S154" s="40">
        <f>IF(P154="","",IF(A154="","Pendente: falta o ID do ativo",IF(COUNTIF(at_id,A154)&gt;1,"ERRO: ID do ativo duplicado",IF(COUNTA(K154:O154)&gt;P154,"Pendente: nota inválida (use inteiro de 1 a 3)",IF(P154&lt;5,"Pendente: falta(m) "&amp;(5-P154)&amp;" nota(s)",IF(NOT(cad_limites_ok),"Pendente: corrija os limites A/B em Critérios",IF(K154=3,"A por Segurança = 3","Classe pela soma e limites")))))))</f>
        <v/>
      </c>
    </row>
    <row r="155">
      <c r="A155" s="36" t="n"/>
      <c r="B155" s="36" t="n"/>
      <c r="C155" s="37" t="n"/>
      <c r="D155" s="36" t="n"/>
      <c r="E155" s="38">
        <f>IF(D155="","",IFERROR(INDEX(lst_tipo_nome,MATCH(D155,lst_tipo_id,0)),"Tipo não cadastrado em Listas"))</f>
        <v/>
      </c>
      <c r="F155" s="36" t="n"/>
      <c r="G155" s="36" t="n"/>
      <c r="H155" s="36" t="n"/>
      <c r="I155" s="39" t="n"/>
      <c r="J155" s="38">
        <f>IF(OR(B155="",D155="",H155="",I155=""),"",IF(B155=H155&amp;"-"&amp;IFERROR(INDEX(lst_tipo_sigla,MATCH(D155,lst_tipo_id,0)),"???")&amp;"-"&amp;RIGHT("00"&amp;I155,3),"OK","Verificar: TAG difere de setor-sigla-número"))</f>
        <v/>
      </c>
      <c r="K155" s="39" t="n"/>
      <c r="L155" s="39" t="n"/>
      <c r="M155" s="39" t="n"/>
      <c r="N155" s="39" t="n"/>
      <c r="O155" s="39" t="n"/>
      <c r="P155" s="38">
        <f>IF(COUNTA(A155:D155)+COUNTA(F155:I155)+COUNTA(K155:O155)=0,"",IF(ISNUMBER(K155),AND(K155=INT(K155),K155&gt;=1,K155&lt;=3),FALSE)+IF(ISNUMBER(L155),AND(L155=INT(L155),L155&gt;=1,L155&lt;=3),FALSE)+IF(ISNUMBER(M155),AND(M155=INT(M155),M155&gt;=1,M155&lt;=3),FALSE)+IF(ISNUMBER(N155),AND(N155=INT(N155),N155&gt;=1,N155&lt;=3),FALSE)+IF(ISNUMBER(O155),AND(O155=INT(O155),O155&gt;=1,O155&lt;=3),FALSE))</f>
        <v/>
      </c>
      <c r="Q155" s="38">
        <f>IF(P155=5,SUM(K155:O155),"")</f>
        <v/>
      </c>
      <c r="R155" s="38">
        <f>IF(P155="","",IF(P155&lt;5,"Pendente",IF(NOT(cad_limites_ok),"Pendente",IF(K155=3,"A",IF(Q155&gt;=cad_limite_a,"A",IF(Q155&gt;=cad_limite_b,"B","C"))))))</f>
        <v/>
      </c>
      <c r="S155" s="40">
        <f>IF(P155="","",IF(A155="","Pendente: falta o ID do ativo",IF(COUNTIF(at_id,A155)&gt;1,"ERRO: ID do ativo duplicado",IF(COUNTA(K155:O155)&gt;P155,"Pendente: nota inválida (use inteiro de 1 a 3)",IF(P155&lt;5,"Pendente: falta(m) "&amp;(5-P155)&amp;" nota(s)",IF(NOT(cad_limites_ok),"Pendente: corrija os limites A/B em Critérios",IF(K155=3,"A por Segurança = 3","Classe pela soma e limites")))))))</f>
        <v/>
      </c>
    </row>
    <row r="156">
      <c r="A156" s="36" t="n"/>
      <c r="B156" s="36" t="n"/>
      <c r="C156" s="37" t="n"/>
      <c r="D156" s="36" t="n"/>
      <c r="E156" s="38">
        <f>IF(D156="","",IFERROR(INDEX(lst_tipo_nome,MATCH(D156,lst_tipo_id,0)),"Tipo não cadastrado em Listas"))</f>
        <v/>
      </c>
      <c r="F156" s="36" t="n"/>
      <c r="G156" s="36" t="n"/>
      <c r="H156" s="36" t="n"/>
      <c r="I156" s="39" t="n"/>
      <c r="J156" s="38">
        <f>IF(OR(B156="",D156="",H156="",I156=""),"",IF(B156=H156&amp;"-"&amp;IFERROR(INDEX(lst_tipo_sigla,MATCH(D156,lst_tipo_id,0)),"???")&amp;"-"&amp;RIGHT("00"&amp;I156,3),"OK","Verificar: TAG difere de setor-sigla-número"))</f>
        <v/>
      </c>
      <c r="K156" s="39" t="n"/>
      <c r="L156" s="39" t="n"/>
      <c r="M156" s="39" t="n"/>
      <c r="N156" s="39" t="n"/>
      <c r="O156" s="39" t="n"/>
      <c r="P156" s="38">
        <f>IF(COUNTA(A156:D156)+COUNTA(F156:I156)+COUNTA(K156:O156)=0,"",IF(ISNUMBER(K156),AND(K156=INT(K156),K156&gt;=1,K156&lt;=3),FALSE)+IF(ISNUMBER(L156),AND(L156=INT(L156),L156&gt;=1,L156&lt;=3),FALSE)+IF(ISNUMBER(M156),AND(M156=INT(M156),M156&gt;=1,M156&lt;=3),FALSE)+IF(ISNUMBER(N156),AND(N156=INT(N156),N156&gt;=1,N156&lt;=3),FALSE)+IF(ISNUMBER(O156),AND(O156=INT(O156),O156&gt;=1,O156&lt;=3),FALSE))</f>
        <v/>
      </c>
      <c r="Q156" s="38">
        <f>IF(P156=5,SUM(K156:O156),"")</f>
        <v/>
      </c>
      <c r="R156" s="38">
        <f>IF(P156="","",IF(P156&lt;5,"Pendente",IF(NOT(cad_limites_ok),"Pendente",IF(K156=3,"A",IF(Q156&gt;=cad_limite_a,"A",IF(Q156&gt;=cad_limite_b,"B","C"))))))</f>
        <v/>
      </c>
      <c r="S156" s="40">
        <f>IF(P156="","",IF(A156="","Pendente: falta o ID do ativo",IF(COUNTIF(at_id,A156)&gt;1,"ERRO: ID do ativo duplicado",IF(COUNTA(K156:O156)&gt;P156,"Pendente: nota inválida (use inteiro de 1 a 3)",IF(P156&lt;5,"Pendente: falta(m) "&amp;(5-P156)&amp;" nota(s)",IF(NOT(cad_limites_ok),"Pendente: corrija os limites A/B em Critérios",IF(K156=3,"A por Segurança = 3","Classe pela soma e limites")))))))</f>
        <v/>
      </c>
    </row>
    <row r="157">
      <c r="A157" s="36" t="n"/>
      <c r="B157" s="36" t="n"/>
      <c r="C157" s="37" t="n"/>
      <c r="D157" s="36" t="n"/>
      <c r="E157" s="38">
        <f>IF(D157="","",IFERROR(INDEX(lst_tipo_nome,MATCH(D157,lst_tipo_id,0)),"Tipo não cadastrado em Listas"))</f>
        <v/>
      </c>
      <c r="F157" s="36" t="n"/>
      <c r="G157" s="36" t="n"/>
      <c r="H157" s="36" t="n"/>
      <c r="I157" s="39" t="n"/>
      <c r="J157" s="38">
        <f>IF(OR(B157="",D157="",H157="",I157=""),"",IF(B157=H157&amp;"-"&amp;IFERROR(INDEX(lst_tipo_sigla,MATCH(D157,lst_tipo_id,0)),"???")&amp;"-"&amp;RIGHT("00"&amp;I157,3),"OK","Verificar: TAG difere de setor-sigla-número"))</f>
        <v/>
      </c>
      <c r="K157" s="39" t="n"/>
      <c r="L157" s="39" t="n"/>
      <c r="M157" s="39" t="n"/>
      <c r="N157" s="39" t="n"/>
      <c r="O157" s="39" t="n"/>
      <c r="P157" s="38">
        <f>IF(COUNTA(A157:D157)+COUNTA(F157:I157)+COUNTA(K157:O157)=0,"",IF(ISNUMBER(K157),AND(K157=INT(K157),K157&gt;=1,K157&lt;=3),FALSE)+IF(ISNUMBER(L157),AND(L157=INT(L157),L157&gt;=1,L157&lt;=3),FALSE)+IF(ISNUMBER(M157),AND(M157=INT(M157),M157&gt;=1,M157&lt;=3),FALSE)+IF(ISNUMBER(N157),AND(N157=INT(N157),N157&gt;=1,N157&lt;=3),FALSE)+IF(ISNUMBER(O157),AND(O157=INT(O157),O157&gt;=1,O157&lt;=3),FALSE))</f>
        <v/>
      </c>
      <c r="Q157" s="38">
        <f>IF(P157=5,SUM(K157:O157),"")</f>
        <v/>
      </c>
      <c r="R157" s="38">
        <f>IF(P157="","",IF(P157&lt;5,"Pendente",IF(NOT(cad_limites_ok),"Pendente",IF(K157=3,"A",IF(Q157&gt;=cad_limite_a,"A",IF(Q157&gt;=cad_limite_b,"B","C"))))))</f>
        <v/>
      </c>
      <c r="S157" s="40">
        <f>IF(P157="","",IF(A157="","Pendente: falta o ID do ativo",IF(COUNTIF(at_id,A157)&gt;1,"ERRO: ID do ativo duplicado",IF(COUNTA(K157:O157)&gt;P157,"Pendente: nota inválida (use inteiro de 1 a 3)",IF(P157&lt;5,"Pendente: falta(m) "&amp;(5-P157)&amp;" nota(s)",IF(NOT(cad_limites_ok),"Pendente: corrija os limites A/B em Critérios",IF(K157=3,"A por Segurança = 3","Classe pela soma e limites")))))))</f>
        <v/>
      </c>
    </row>
    <row r="158">
      <c r="A158" s="36" t="n"/>
      <c r="B158" s="36" t="n"/>
      <c r="C158" s="37" t="n"/>
      <c r="D158" s="36" t="n"/>
      <c r="E158" s="38">
        <f>IF(D158="","",IFERROR(INDEX(lst_tipo_nome,MATCH(D158,lst_tipo_id,0)),"Tipo não cadastrado em Listas"))</f>
        <v/>
      </c>
      <c r="F158" s="36" t="n"/>
      <c r="G158" s="36" t="n"/>
      <c r="H158" s="36" t="n"/>
      <c r="I158" s="39" t="n"/>
      <c r="J158" s="38">
        <f>IF(OR(B158="",D158="",H158="",I158=""),"",IF(B158=H158&amp;"-"&amp;IFERROR(INDEX(lst_tipo_sigla,MATCH(D158,lst_tipo_id,0)),"???")&amp;"-"&amp;RIGHT("00"&amp;I158,3),"OK","Verificar: TAG difere de setor-sigla-número"))</f>
        <v/>
      </c>
      <c r="K158" s="39" t="n"/>
      <c r="L158" s="39" t="n"/>
      <c r="M158" s="39" t="n"/>
      <c r="N158" s="39" t="n"/>
      <c r="O158" s="39" t="n"/>
      <c r="P158" s="38">
        <f>IF(COUNTA(A158:D158)+COUNTA(F158:I158)+COUNTA(K158:O158)=0,"",IF(ISNUMBER(K158),AND(K158=INT(K158),K158&gt;=1,K158&lt;=3),FALSE)+IF(ISNUMBER(L158),AND(L158=INT(L158),L158&gt;=1,L158&lt;=3),FALSE)+IF(ISNUMBER(M158),AND(M158=INT(M158),M158&gt;=1,M158&lt;=3),FALSE)+IF(ISNUMBER(N158),AND(N158=INT(N158),N158&gt;=1,N158&lt;=3),FALSE)+IF(ISNUMBER(O158),AND(O158=INT(O158),O158&gt;=1,O158&lt;=3),FALSE))</f>
        <v/>
      </c>
      <c r="Q158" s="38">
        <f>IF(P158=5,SUM(K158:O158),"")</f>
        <v/>
      </c>
      <c r="R158" s="38">
        <f>IF(P158="","",IF(P158&lt;5,"Pendente",IF(NOT(cad_limites_ok),"Pendente",IF(K158=3,"A",IF(Q158&gt;=cad_limite_a,"A",IF(Q158&gt;=cad_limite_b,"B","C"))))))</f>
        <v/>
      </c>
      <c r="S158" s="40">
        <f>IF(P158="","",IF(A158="","Pendente: falta o ID do ativo",IF(COUNTIF(at_id,A158)&gt;1,"ERRO: ID do ativo duplicado",IF(COUNTA(K158:O158)&gt;P158,"Pendente: nota inválida (use inteiro de 1 a 3)",IF(P158&lt;5,"Pendente: falta(m) "&amp;(5-P158)&amp;" nota(s)",IF(NOT(cad_limites_ok),"Pendente: corrija os limites A/B em Critérios",IF(K158=3,"A por Segurança = 3","Classe pela soma e limites")))))))</f>
        <v/>
      </c>
    </row>
    <row r="159">
      <c r="A159" s="36" t="n"/>
      <c r="B159" s="36" t="n"/>
      <c r="C159" s="37" t="n"/>
      <c r="D159" s="36" t="n"/>
      <c r="E159" s="38">
        <f>IF(D159="","",IFERROR(INDEX(lst_tipo_nome,MATCH(D159,lst_tipo_id,0)),"Tipo não cadastrado em Listas"))</f>
        <v/>
      </c>
      <c r="F159" s="36" t="n"/>
      <c r="G159" s="36" t="n"/>
      <c r="H159" s="36" t="n"/>
      <c r="I159" s="39" t="n"/>
      <c r="J159" s="38">
        <f>IF(OR(B159="",D159="",H159="",I159=""),"",IF(B159=H159&amp;"-"&amp;IFERROR(INDEX(lst_tipo_sigla,MATCH(D159,lst_tipo_id,0)),"???")&amp;"-"&amp;RIGHT("00"&amp;I159,3),"OK","Verificar: TAG difere de setor-sigla-número"))</f>
        <v/>
      </c>
      <c r="K159" s="39" t="n"/>
      <c r="L159" s="39" t="n"/>
      <c r="M159" s="39" t="n"/>
      <c r="N159" s="39" t="n"/>
      <c r="O159" s="39" t="n"/>
      <c r="P159" s="38">
        <f>IF(COUNTA(A159:D159)+COUNTA(F159:I159)+COUNTA(K159:O159)=0,"",IF(ISNUMBER(K159),AND(K159=INT(K159),K159&gt;=1,K159&lt;=3),FALSE)+IF(ISNUMBER(L159),AND(L159=INT(L159),L159&gt;=1,L159&lt;=3),FALSE)+IF(ISNUMBER(M159),AND(M159=INT(M159),M159&gt;=1,M159&lt;=3),FALSE)+IF(ISNUMBER(N159),AND(N159=INT(N159),N159&gt;=1,N159&lt;=3),FALSE)+IF(ISNUMBER(O159),AND(O159=INT(O159),O159&gt;=1,O159&lt;=3),FALSE))</f>
        <v/>
      </c>
      <c r="Q159" s="38">
        <f>IF(P159=5,SUM(K159:O159),"")</f>
        <v/>
      </c>
      <c r="R159" s="38">
        <f>IF(P159="","",IF(P159&lt;5,"Pendente",IF(NOT(cad_limites_ok),"Pendente",IF(K159=3,"A",IF(Q159&gt;=cad_limite_a,"A",IF(Q159&gt;=cad_limite_b,"B","C"))))))</f>
        <v/>
      </c>
      <c r="S159" s="40">
        <f>IF(P159="","",IF(A159="","Pendente: falta o ID do ativo",IF(COUNTIF(at_id,A159)&gt;1,"ERRO: ID do ativo duplicado",IF(COUNTA(K159:O159)&gt;P159,"Pendente: nota inválida (use inteiro de 1 a 3)",IF(P159&lt;5,"Pendente: falta(m) "&amp;(5-P159)&amp;" nota(s)",IF(NOT(cad_limites_ok),"Pendente: corrija os limites A/B em Critérios",IF(K159=3,"A por Segurança = 3","Classe pela soma e limites")))))))</f>
        <v/>
      </c>
    </row>
    <row r="160">
      <c r="A160" s="36" t="n"/>
      <c r="B160" s="36" t="n"/>
      <c r="C160" s="37" t="n"/>
      <c r="D160" s="36" t="n"/>
      <c r="E160" s="38">
        <f>IF(D160="","",IFERROR(INDEX(lst_tipo_nome,MATCH(D160,lst_tipo_id,0)),"Tipo não cadastrado em Listas"))</f>
        <v/>
      </c>
      <c r="F160" s="36" t="n"/>
      <c r="G160" s="36" t="n"/>
      <c r="H160" s="36" t="n"/>
      <c r="I160" s="39" t="n"/>
      <c r="J160" s="38">
        <f>IF(OR(B160="",D160="",H160="",I160=""),"",IF(B160=H160&amp;"-"&amp;IFERROR(INDEX(lst_tipo_sigla,MATCH(D160,lst_tipo_id,0)),"???")&amp;"-"&amp;RIGHT("00"&amp;I160,3),"OK","Verificar: TAG difere de setor-sigla-número"))</f>
        <v/>
      </c>
      <c r="K160" s="39" t="n"/>
      <c r="L160" s="39" t="n"/>
      <c r="M160" s="39" t="n"/>
      <c r="N160" s="39" t="n"/>
      <c r="O160" s="39" t="n"/>
      <c r="P160" s="38">
        <f>IF(COUNTA(A160:D160)+COUNTA(F160:I160)+COUNTA(K160:O160)=0,"",IF(ISNUMBER(K160),AND(K160=INT(K160),K160&gt;=1,K160&lt;=3),FALSE)+IF(ISNUMBER(L160),AND(L160=INT(L160),L160&gt;=1,L160&lt;=3),FALSE)+IF(ISNUMBER(M160),AND(M160=INT(M160),M160&gt;=1,M160&lt;=3),FALSE)+IF(ISNUMBER(N160),AND(N160=INT(N160),N160&gt;=1,N160&lt;=3),FALSE)+IF(ISNUMBER(O160),AND(O160=INT(O160),O160&gt;=1,O160&lt;=3),FALSE))</f>
        <v/>
      </c>
      <c r="Q160" s="38">
        <f>IF(P160=5,SUM(K160:O160),"")</f>
        <v/>
      </c>
      <c r="R160" s="38">
        <f>IF(P160="","",IF(P160&lt;5,"Pendente",IF(NOT(cad_limites_ok),"Pendente",IF(K160=3,"A",IF(Q160&gt;=cad_limite_a,"A",IF(Q160&gt;=cad_limite_b,"B","C"))))))</f>
        <v/>
      </c>
      <c r="S160" s="40">
        <f>IF(P160="","",IF(A160="","Pendente: falta o ID do ativo",IF(COUNTIF(at_id,A160)&gt;1,"ERRO: ID do ativo duplicado",IF(COUNTA(K160:O160)&gt;P160,"Pendente: nota inválida (use inteiro de 1 a 3)",IF(P160&lt;5,"Pendente: falta(m) "&amp;(5-P160)&amp;" nota(s)",IF(NOT(cad_limites_ok),"Pendente: corrija os limites A/B em Critérios",IF(K160=3,"A por Segurança = 3","Classe pela soma e limites")))))))</f>
        <v/>
      </c>
    </row>
    <row r="161">
      <c r="A161" s="36" t="n"/>
      <c r="B161" s="36" t="n"/>
      <c r="C161" s="37" t="n"/>
      <c r="D161" s="36" t="n"/>
      <c r="E161" s="38">
        <f>IF(D161="","",IFERROR(INDEX(lst_tipo_nome,MATCH(D161,lst_tipo_id,0)),"Tipo não cadastrado em Listas"))</f>
        <v/>
      </c>
      <c r="F161" s="36" t="n"/>
      <c r="G161" s="36" t="n"/>
      <c r="H161" s="36" t="n"/>
      <c r="I161" s="39" t="n"/>
      <c r="J161" s="38">
        <f>IF(OR(B161="",D161="",H161="",I161=""),"",IF(B161=H161&amp;"-"&amp;IFERROR(INDEX(lst_tipo_sigla,MATCH(D161,lst_tipo_id,0)),"???")&amp;"-"&amp;RIGHT("00"&amp;I161,3),"OK","Verificar: TAG difere de setor-sigla-número"))</f>
        <v/>
      </c>
      <c r="K161" s="39" t="n"/>
      <c r="L161" s="39" t="n"/>
      <c r="M161" s="39" t="n"/>
      <c r="N161" s="39" t="n"/>
      <c r="O161" s="39" t="n"/>
      <c r="P161" s="38">
        <f>IF(COUNTA(A161:D161)+COUNTA(F161:I161)+COUNTA(K161:O161)=0,"",IF(ISNUMBER(K161),AND(K161=INT(K161),K161&gt;=1,K161&lt;=3),FALSE)+IF(ISNUMBER(L161),AND(L161=INT(L161),L161&gt;=1,L161&lt;=3),FALSE)+IF(ISNUMBER(M161),AND(M161=INT(M161),M161&gt;=1,M161&lt;=3),FALSE)+IF(ISNUMBER(N161),AND(N161=INT(N161),N161&gt;=1,N161&lt;=3),FALSE)+IF(ISNUMBER(O161),AND(O161=INT(O161),O161&gt;=1,O161&lt;=3),FALSE))</f>
        <v/>
      </c>
      <c r="Q161" s="38">
        <f>IF(P161=5,SUM(K161:O161),"")</f>
        <v/>
      </c>
      <c r="R161" s="38">
        <f>IF(P161="","",IF(P161&lt;5,"Pendente",IF(NOT(cad_limites_ok),"Pendente",IF(K161=3,"A",IF(Q161&gt;=cad_limite_a,"A",IF(Q161&gt;=cad_limite_b,"B","C"))))))</f>
        <v/>
      </c>
      <c r="S161" s="40">
        <f>IF(P161="","",IF(A161="","Pendente: falta o ID do ativo",IF(COUNTIF(at_id,A161)&gt;1,"ERRO: ID do ativo duplicado",IF(COUNTA(K161:O161)&gt;P161,"Pendente: nota inválida (use inteiro de 1 a 3)",IF(P161&lt;5,"Pendente: falta(m) "&amp;(5-P161)&amp;" nota(s)",IF(NOT(cad_limites_ok),"Pendente: corrija os limites A/B em Critérios",IF(K161=3,"A por Segurança = 3","Classe pela soma e limites")))))))</f>
        <v/>
      </c>
    </row>
    <row r="162">
      <c r="A162" s="36" t="n"/>
      <c r="B162" s="36" t="n"/>
      <c r="C162" s="37" t="n"/>
      <c r="D162" s="36" t="n"/>
      <c r="E162" s="38">
        <f>IF(D162="","",IFERROR(INDEX(lst_tipo_nome,MATCH(D162,lst_tipo_id,0)),"Tipo não cadastrado em Listas"))</f>
        <v/>
      </c>
      <c r="F162" s="36" t="n"/>
      <c r="G162" s="36" t="n"/>
      <c r="H162" s="36" t="n"/>
      <c r="I162" s="39" t="n"/>
      <c r="J162" s="38">
        <f>IF(OR(B162="",D162="",H162="",I162=""),"",IF(B162=H162&amp;"-"&amp;IFERROR(INDEX(lst_tipo_sigla,MATCH(D162,lst_tipo_id,0)),"???")&amp;"-"&amp;RIGHT("00"&amp;I162,3),"OK","Verificar: TAG difere de setor-sigla-número"))</f>
        <v/>
      </c>
      <c r="K162" s="39" t="n"/>
      <c r="L162" s="39" t="n"/>
      <c r="M162" s="39" t="n"/>
      <c r="N162" s="39" t="n"/>
      <c r="O162" s="39" t="n"/>
      <c r="P162" s="38">
        <f>IF(COUNTA(A162:D162)+COUNTA(F162:I162)+COUNTA(K162:O162)=0,"",IF(ISNUMBER(K162),AND(K162=INT(K162),K162&gt;=1,K162&lt;=3),FALSE)+IF(ISNUMBER(L162),AND(L162=INT(L162),L162&gt;=1,L162&lt;=3),FALSE)+IF(ISNUMBER(M162),AND(M162=INT(M162),M162&gt;=1,M162&lt;=3),FALSE)+IF(ISNUMBER(N162),AND(N162=INT(N162),N162&gt;=1,N162&lt;=3),FALSE)+IF(ISNUMBER(O162),AND(O162=INT(O162),O162&gt;=1,O162&lt;=3),FALSE))</f>
        <v/>
      </c>
      <c r="Q162" s="38">
        <f>IF(P162=5,SUM(K162:O162),"")</f>
        <v/>
      </c>
      <c r="R162" s="38">
        <f>IF(P162="","",IF(P162&lt;5,"Pendente",IF(NOT(cad_limites_ok),"Pendente",IF(K162=3,"A",IF(Q162&gt;=cad_limite_a,"A",IF(Q162&gt;=cad_limite_b,"B","C"))))))</f>
        <v/>
      </c>
      <c r="S162" s="40">
        <f>IF(P162="","",IF(A162="","Pendente: falta o ID do ativo",IF(COUNTIF(at_id,A162)&gt;1,"ERRO: ID do ativo duplicado",IF(COUNTA(K162:O162)&gt;P162,"Pendente: nota inválida (use inteiro de 1 a 3)",IF(P162&lt;5,"Pendente: falta(m) "&amp;(5-P162)&amp;" nota(s)",IF(NOT(cad_limites_ok),"Pendente: corrija os limites A/B em Critérios",IF(K162=3,"A por Segurança = 3","Classe pela soma e limites")))))))</f>
        <v/>
      </c>
    </row>
    <row r="163">
      <c r="A163" s="36" t="n"/>
      <c r="B163" s="36" t="n"/>
      <c r="C163" s="37" t="n"/>
      <c r="D163" s="36" t="n"/>
      <c r="E163" s="38">
        <f>IF(D163="","",IFERROR(INDEX(lst_tipo_nome,MATCH(D163,lst_tipo_id,0)),"Tipo não cadastrado em Listas"))</f>
        <v/>
      </c>
      <c r="F163" s="36" t="n"/>
      <c r="G163" s="36" t="n"/>
      <c r="H163" s="36" t="n"/>
      <c r="I163" s="39" t="n"/>
      <c r="J163" s="38">
        <f>IF(OR(B163="",D163="",H163="",I163=""),"",IF(B163=H163&amp;"-"&amp;IFERROR(INDEX(lst_tipo_sigla,MATCH(D163,lst_tipo_id,0)),"???")&amp;"-"&amp;RIGHT("00"&amp;I163,3),"OK","Verificar: TAG difere de setor-sigla-número"))</f>
        <v/>
      </c>
      <c r="K163" s="39" t="n"/>
      <c r="L163" s="39" t="n"/>
      <c r="M163" s="39" t="n"/>
      <c r="N163" s="39" t="n"/>
      <c r="O163" s="39" t="n"/>
      <c r="P163" s="38">
        <f>IF(COUNTA(A163:D163)+COUNTA(F163:I163)+COUNTA(K163:O163)=0,"",IF(ISNUMBER(K163),AND(K163=INT(K163),K163&gt;=1,K163&lt;=3),FALSE)+IF(ISNUMBER(L163),AND(L163=INT(L163),L163&gt;=1,L163&lt;=3),FALSE)+IF(ISNUMBER(M163),AND(M163=INT(M163),M163&gt;=1,M163&lt;=3),FALSE)+IF(ISNUMBER(N163),AND(N163=INT(N163),N163&gt;=1,N163&lt;=3),FALSE)+IF(ISNUMBER(O163),AND(O163=INT(O163),O163&gt;=1,O163&lt;=3),FALSE))</f>
        <v/>
      </c>
      <c r="Q163" s="38">
        <f>IF(P163=5,SUM(K163:O163),"")</f>
        <v/>
      </c>
      <c r="R163" s="38">
        <f>IF(P163="","",IF(P163&lt;5,"Pendente",IF(NOT(cad_limites_ok),"Pendente",IF(K163=3,"A",IF(Q163&gt;=cad_limite_a,"A",IF(Q163&gt;=cad_limite_b,"B","C"))))))</f>
        <v/>
      </c>
      <c r="S163" s="40">
        <f>IF(P163="","",IF(A163="","Pendente: falta o ID do ativo",IF(COUNTIF(at_id,A163)&gt;1,"ERRO: ID do ativo duplicado",IF(COUNTA(K163:O163)&gt;P163,"Pendente: nota inválida (use inteiro de 1 a 3)",IF(P163&lt;5,"Pendente: falta(m) "&amp;(5-P163)&amp;" nota(s)",IF(NOT(cad_limites_ok),"Pendente: corrija os limites A/B em Critérios",IF(K163=3,"A por Segurança = 3","Classe pela soma e limites")))))))</f>
        <v/>
      </c>
    </row>
    <row r="164">
      <c r="A164" s="36" t="n"/>
      <c r="B164" s="36" t="n"/>
      <c r="C164" s="37" t="n"/>
      <c r="D164" s="36" t="n"/>
      <c r="E164" s="38">
        <f>IF(D164="","",IFERROR(INDEX(lst_tipo_nome,MATCH(D164,lst_tipo_id,0)),"Tipo não cadastrado em Listas"))</f>
        <v/>
      </c>
      <c r="F164" s="36" t="n"/>
      <c r="G164" s="36" t="n"/>
      <c r="H164" s="36" t="n"/>
      <c r="I164" s="39" t="n"/>
      <c r="J164" s="38">
        <f>IF(OR(B164="",D164="",H164="",I164=""),"",IF(B164=H164&amp;"-"&amp;IFERROR(INDEX(lst_tipo_sigla,MATCH(D164,lst_tipo_id,0)),"???")&amp;"-"&amp;RIGHT("00"&amp;I164,3),"OK","Verificar: TAG difere de setor-sigla-número"))</f>
        <v/>
      </c>
      <c r="K164" s="39" t="n"/>
      <c r="L164" s="39" t="n"/>
      <c r="M164" s="39" t="n"/>
      <c r="N164" s="39" t="n"/>
      <c r="O164" s="39" t="n"/>
      <c r="P164" s="38">
        <f>IF(COUNTA(A164:D164)+COUNTA(F164:I164)+COUNTA(K164:O164)=0,"",IF(ISNUMBER(K164),AND(K164=INT(K164),K164&gt;=1,K164&lt;=3),FALSE)+IF(ISNUMBER(L164),AND(L164=INT(L164),L164&gt;=1,L164&lt;=3),FALSE)+IF(ISNUMBER(M164),AND(M164=INT(M164),M164&gt;=1,M164&lt;=3),FALSE)+IF(ISNUMBER(N164),AND(N164=INT(N164),N164&gt;=1,N164&lt;=3),FALSE)+IF(ISNUMBER(O164),AND(O164=INT(O164),O164&gt;=1,O164&lt;=3),FALSE))</f>
        <v/>
      </c>
      <c r="Q164" s="38">
        <f>IF(P164=5,SUM(K164:O164),"")</f>
        <v/>
      </c>
      <c r="R164" s="38">
        <f>IF(P164="","",IF(P164&lt;5,"Pendente",IF(NOT(cad_limites_ok),"Pendente",IF(K164=3,"A",IF(Q164&gt;=cad_limite_a,"A",IF(Q164&gt;=cad_limite_b,"B","C"))))))</f>
        <v/>
      </c>
      <c r="S164" s="40">
        <f>IF(P164="","",IF(A164="","Pendente: falta o ID do ativo",IF(COUNTIF(at_id,A164)&gt;1,"ERRO: ID do ativo duplicado",IF(COUNTA(K164:O164)&gt;P164,"Pendente: nota inválida (use inteiro de 1 a 3)",IF(P164&lt;5,"Pendente: falta(m) "&amp;(5-P164)&amp;" nota(s)",IF(NOT(cad_limites_ok),"Pendente: corrija os limites A/B em Critérios",IF(K164=3,"A por Segurança = 3","Classe pela soma e limites")))))))</f>
        <v/>
      </c>
    </row>
    <row r="165">
      <c r="A165" s="36" t="n"/>
      <c r="B165" s="36" t="n"/>
      <c r="C165" s="37" t="n"/>
      <c r="D165" s="36" t="n"/>
      <c r="E165" s="38">
        <f>IF(D165="","",IFERROR(INDEX(lst_tipo_nome,MATCH(D165,lst_tipo_id,0)),"Tipo não cadastrado em Listas"))</f>
        <v/>
      </c>
      <c r="F165" s="36" t="n"/>
      <c r="G165" s="36" t="n"/>
      <c r="H165" s="36" t="n"/>
      <c r="I165" s="39" t="n"/>
      <c r="J165" s="38">
        <f>IF(OR(B165="",D165="",H165="",I165=""),"",IF(B165=H165&amp;"-"&amp;IFERROR(INDEX(lst_tipo_sigla,MATCH(D165,lst_tipo_id,0)),"???")&amp;"-"&amp;RIGHT("00"&amp;I165,3),"OK","Verificar: TAG difere de setor-sigla-número"))</f>
        <v/>
      </c>
      <c r="K165" s="39" t="n"/>
      <c r="L165" s="39" t="n"/>
      <c r="M165" s="39" t="n"/>
      <c r="N165" s="39" t="n"/>
      <c r="O165" s="39" t="n"/>
      <c r="P165" s="38">
        <f>IF(COUNTA(A165:D165)+COUNTA(F165:I165)+COUNTA(K165:O165)=0,"",IF(ISNUMBER(K165),AND(K165=INT(K165),K165&gt;=1,K165&lt;=3),FALSE)+IF(ISNUMBER(L165),AND(L165=INT(L165),L165&gt;=1,L165&lt;=3),FALSE)+IF(ISNUMBER(M165),AND(M165=INT(M165),M165&gt;=1,M165&lt;=3),FALSE)+IF(ISNUMBER(N165),AND(N165=INT(N165),N165&gt;=1,N165&lt;=3),FALSE)+IF(ISNUMBER(O165),AND(O165=INT(O165),O165&gt;=1,O165&lt;=3),FALSE))</f>
        <v/>
      </c>
      <c r="Q165" s="38">
        <f>IF(P165=5,SUM(K165:O165),"")</f>
        <v/>
      </c>
      <c r="R165" s="38">
        <f>IF(P165="","",IF(P165&lt;5,"Pendente",IF(NOT(cad_limites_ok),"Pendente",IF(K165=3,"A",IF(Q165&gt;=cad_limite_a,"A",IF(Q165&gt;=cad_limite_b,"B","C"))))))</f>
        <v/>
      </c>
      <c r="S165" s="40">
        <f>IF(P165="","",IF(A165="","Pendente: falta o ID do ativo",IF(COUNTIF(at_id,A165)&gt;1,"ERRO: ID do ativo duplicado",IF(COUNTA(K165:O165)&gt;P165,"Pendente: nota inválida (use inteiro de 1 a 3)",IF(P165&lt;5,"Pendente: falta(m) "&amp;(5-P165)&amp;" nota(s)",IF(NOT(cad_limites_ok),"Pendente: corrija os limites A/B em Critérios",IF(K165=3,"A por Segurança = 3","Classe pela soma e limites")))))))</f>
        <v/>
      </c>
    </row>
    <row r="166">
      <c r="A166" s="36" t="n"/>
      <c r="B166" s="36" t="n"/>
      <c r="C166" s="37" t="n"/>
      <c r="D166" s="36" t="n"/>
      <c r="E166" s="38">
        <f>IF(D166="","",IFERROR(INDEX(lst_tipo_nome,MATCH(D166,lst_tipo_id,0)),"Tipo não cadastrado em Listas"))</f>
        <v/>
      </c>
      <c r="F166" s="36" t="n"/>
      <c r="G166" s="36" t="n"/>
      <c r="H166" s="36" t="n"/>
      <c r="I166" s="39" t="n"/>
      <c r="J166" s="38">
        <f>IF(OR(B166="",D166="",H166="",I166=""),"",IF(B166=H166&amp;"-"&amp;IFERROR(INDEX(lst_tipo_sigla,MATCH(D166,lst_tipo_id,0)),"???")&amp;"-"&amp;RIGHT("00"&amp;I166,3),"OK","Verificar: TAG difere de setor-sigla-número"))</f>
        <v/>
      </c>
      <c r="K166" s="39" t="n"/>
      <c r="L166" s="39" t="n"/>
      <c r="M166" s="39" t="n"/>
      <c r="N166" s="39" t="n"/>
      <c r="O166" s="39" t="n"/>
      <c r="P166" s="38">
        <f>IF(COUNTA(A166:D166)+COUNTA(F166:I166)+COUNTA(K166:O166)=0,"",IF(ISNUMBER(K166),AND(K166=INT(K166),K166&gt;=1,K166&lt;=3),FALSE)+IF(ISNUMBER(L166),AND(L166=INT(L166),L166&gt;=1,L166&lt;=3),FALSE)+IF(ISNUMBER(M166),AND(M166=INT(M166),M166&gt;=1,M166&lt;=3),FALSE)+IF(ISNUMBER(N166),AND(N166=INT(N166),N166&gt;=1,N166&lt;=3),FALSE)+IF(ISNUMBER(O166),AND(O166=INT(O166),O166&gt;=1,O166&lt;=3),FALSE))</f>
        <v/>
      </c>
      <c r="Q166" s="38">
        <f>IF(P166=5,SUM(K166:O166),"")</f>
        <v/>
      </c>
      <c r="R166" s="38">
        <f>IF(P166="","",IF(P166&lt;5,"Pendente",IF(NOT(cad_limites_ok),"Pendente",IF(K166=3,"A",IF(Q166&gt;=cad_limite_a,"A",IF(Q166&gt;=cad_limite_b,"B","C"))))))</f>
        <v/>
      </c>
      <c r="S166" s="40">
        <f>IF(P166="","",IF(A166="","Pendente: falta o ID do ativo",IF(COUNTIF(at_id,A166)&gt;1,"ERRO: ID do ativo duplicado",IF(COUNTA(K166:O166)&gt;P166,"Pendente: nota inválida (use inteiro de 1 a 3)",IF(P166&lt;5,"Pendente: falta(m) "&amp;(5-P166)&amp;" nota(s)",IF(NOT(cad_limites_ok),"Pendente: corrija os limites A/B em Critérios",IF(K166=3,"A por Segurança = 3","Classe pela soma e limites")))))))</f>
        <v/>
      </c>
    </row>
    <row r="167">
      <c r="A167" s="36" t="n"/>
      <c r="B167" s="36" t="n"/>
      <c r="C167" s="37" t="n"/>
      <c r="D167" s="36" t="n"/>
      <c r="E167" s="38">
        <f>IF(D167="","",IFERROR(INDEX(lst_tipo_nome,MATCH(D167,lst_tipo_id,0)),"Tipo não cadastrado em Listas"))</f>
        <v/>
      </c>
      <c r="F167" s="36" t="n"/>
      <c r="G167" s="36" t="n"/>
      <c r="H167" s="36" t="n"/>
      <c r="I167" s="39" t="n"/>
      <c r="J167" s="38">
        <f>IF(OR(B167="",D167="",H167="",I167=""),"",IF(B167=H167&amp;"-"&amp;IFERROR(INDEX(lst_tipo_sigla,MATCH(D167,lst_tipo_id,0)),"???")&amp;"-"&amp;RIGHT("00"&amp;I167,3),"OK","Verificar: TAG difere de setor-sigla-número"))</f>
        <v/>
      </c>
      <c r="K167" s="39" t="n"/>
      <c r="L167" s="39" t="n"/>
      <c r="M167" s="39" t="n"/>
      <c r="N167" s="39" t="n"/>
      <c r="O167" s="39" t="n"/>
      <c r="P167" s="38">
        <f>IF(COUNTA(A167:D167)+COUNTA(F167:I167)+COUNTA(K167:O167)=0,"",IF(ISNUMBER(K167),AND(K167=INT(K167),K167&gt;=1,K167&lt;=3),FALSE)+IF(ISNUMBER(L167),AND(L167=INT(L167),L167&gt;=1,L167&lt;=3),FALSE)+IF(ISNUMBER(M167),AND(M167=INT(M167),M167&gt;=1,M167&lt;=3),FALSE)+IF(ISNUMBER(N167),AND(N167=INT(N167),N167&gt;=1,N167&lt;=3),FALSE)+IF(ISNUMBER(O167),AND(O167=INT(O167),O167&gt;=1,O167&lt;=3),FALSE))</f>
        <v/>
      </c>
      <c r="Q167" s="38">
        <f>IF(P167=5,SUM(K167:O167),"")</f>
        <v/>
      </c>
      <c r="R167" s="38">
        <f>IF(P167="","",IF(P167&lt;5,"Pendente",IF(NOT(cad_limites_ok),"Pendente",IF(K167=3,"A",IF(Q167&gt;=cad_limite_a,"A",IF(Q167&gt;=cad_limite_b,"B","C"))))))</f>
        <v/>
      </c>
      <c r="S167" s="40">
        <f>IF(P167="","",IF(A167="","Pendente: falta o ID do ativo",IF(COUNTIF(at_id,A167)&gt;1,"ERRO: ID do ativo duplicado",IF(COUNTA(K167:O167)&gt;P167,"Pendente: nota inválida (use inteiro de 1 a 3)",IF(P167&lt;5,"Pendente: falta(m) "&amp;(5-P167)&amp;" nota(s)",IF(NOT(cad_limites_ok),"Pendente: corrija os limites A/B em Critérios",IF(K167=3,"A por Segurança = 3","Classe pela soma e limites")))))))</f>
        <v/>
      </c>
    </row>
    <row r="168">
      <c r="A168" s="36" t="n"/>
      <c r="B168" s="36" t="n"/>
      <c r="C168" s="37" t="n"/>
      <c r="D168" s="36" t="n"/>
      <c r="E168" s="38">
        <f>IF(D168="","",IFERROR(INDEX(lst_tipo_nome,MATCH(D168,lst_tipo_id,0)),"Tipo não cadastrado em Listas"))</f>
        <v/>
      </c>
      <c r="F168" s="36" t="n"/>
      <c r="G168" s="36" t="n"/>
      <c r="H168" s="36" t="n"/>
      <c r="I168" s="39" t="n"/>
      <c r="J168" s="38">
        <f>IF(OR(B168="",D168="",H168="",I168=""),"",IF(B168=H168&amp;"-"&amp;IFERROR(INDEX(lst_tipo_sigla,MATCH(D168,lst_tipo_id,0)),"???")&amp;"-"&amp;RIGHT("00"&amp;I168,3),"OK","Verificar: TAG difere de setor-sigla-número"))</f>
        <v/>
      </c>
      <c r="K168" s="39" t="n"/>
      <c r="L168" s="39" t="n"/>
      <c r="M168" s="39" t="n"/>
      <c r="N168" s="39" t="n"/>
      <c r="O168" s="39" t="n"/>
      <c r="P168" s="38">
        <f>IF(COUNTA(A168:D168)+COUNTA(F168:I168)+COUNTA(K168:O168)=0,"",IF(ISNUMBER(K168),AND(K168=INT(K168),K168&gt;=1,K168&lt;=3),FALSE)+IF(ISNUMBER(L168),AND(L168=INT(L168),L168&gt;=1,L168&lt;=3),FALSE)+IF(ISNUMBER(M168),AND(M168=INT(M168),M168&gt;=1,M168&lt;=3),FALSE)+IF(ISNUMBER(N168),AND(N168=INT(N168),N168&gt;=1,N168&lt;=3),FALSE)+IF(ISNUMBER(O168),AND(O168=INT(O168),O168&gt;=1,O168&lt;=3),FALSE))</f>
        <v/>
      </c>
      <c r="Q168" s="38">
        <f>IF(P168=5,SUM(K168:O168),"")</f>
        <v/>
      </c>
      <c r="R168" s="38">
        <f>IF(P168="","",IF(P168&lt;5,"Pendente",IF(NOT(cad_limites_ok),"Pendente",IF(K168=3,"A",IF(Q168&gt;=cad_limite_a,"A",IF(Q168&gt;=cad_limite_b,"B","C"))))))</f>
        <v/>
      </c>
      <c r="S168" s="40">
        <f>IF(P168="","",IF(A168="","Pendente: falta o ID do ativo",IF(COUNTIF(at_id,A168)&gt;1,"ERRO: ID do ativo duplicado",IF(COUNTA(K168:O168)&gt;P168,"Pendente: nota inválida (use inteiro de 1 a 3)",IF(P168&lt;5,"Pendente: falta(m) "&amp;(5-P168)&amp;" nota(s)",IF(NOT(cad_limites_ok),"Pendente: corrija os limites A/B em Critérios",IF(K168=3,"A por Segurança = 3","Classe pela soma e limites")))))))</f>
        <v/>
      </c>
    </row>
    <row r="169">
      <c r="A169" s="36" t="n"/>
      <c r="B169" s="36" t="n"/>
      <c r="C169" s="37" t="n"/>
      <c r="D169" s="36" t="n"/>
      <c r="E169" s="38">
        <f>IF(D169="","",IFERROR(INDEX(lst_tipo_nome,MATCH(D169,lst_tipo_id,0)),"Tipo não cadastrado em Listas"))</f>
        <v/>
      </c>
      <c r="F169" s="36" t="n"/>
      <c r="G169" s="36" t="n"/>
      <c r="H169" s="36" t="n"/>
      <c r="I169" s="39" t="n"/>
      <c r="J169" s="38">
        <f>IF(OR(B169="",D169="",H169="",I169=""),"",IF(B169=H169&amp;"-"&amp;IFERROR(INDEX(lst_tipo_sigla,MATCH(D169,lst_tipo_id,0)),"???")&amp;"-"&amp;RIGHT("00"&amp;I169,3),"OK","Verificar: TAG difere de setor-sigla-número"))</f>
        <v/>
      </c>
      <c r="K169" s="39" t="n"/>
      <c r="L169" s="39" t="n"/>
      <c r="M169" s="39" t="n"/>
      <c r="N169" s="39" t="n"/>
      <c r="O169" s="39" t="n"/>
      <c r="P169" s="38">
        <f>IF(COUNTA(A169:D169)+COUNTA(F169:I169)+COUNTA(K169:O169)=0,"",IF(ISNUMBER(K169),AND(K169=INT(K169),K169&gt;=1,K169&lt;=3),FALSE)+IF(ISNUMBER(L169),AND(L169=INT(L169),L169&gt;=1,L169&lt;=3),FALSE)+IF(ISNUMBER(M169),AND(M169=INT(M169),M169&gt;=1,M169&lt;=3),FALSE)+IF(ISNUMBER(N169),AND(N169=INT(N169),N169&gt;=1,N169&lt;=3),FALSE)+IF(ISNUMBER(O169),AND(O169=INT(O169),O169&gt;=1,O169&lt;=3),FALSE))</f>
        <v/>
      </c>
      <c r="Q169" s="38">
        <f>IF(P169=5,SUM(K169:O169),"")</f>
        <v/>
      </c>
      <c r="R169" s="38">
        <f>IF(P169="","",IF(P169&lt;5,"Pendente",IF(NOT(cad_limites_ok),"Pendente",IF(K169=3,"A",IF(Q169&gt;=cad_limite_a,"A",IF(Q169&gt;=cad_limite_b,"B","C"))))))</f>
        <v/>
      </c>
      <c r="S169" s="40">
        <f>IF(P169="","",IF(A169="","Pendente: falta o ID do ativo",IF(COUNTIF(at_id,A169)&gt;1,"ERRO: ID do ativo duplicado",IF(COUNTA(K169:O169)&gt;P169,"Pendente: nota inválida (use inteiro de 1 a 3)",IF(P169&lt;5,"Pendente: falta(m) "&amp;(5-P169)&amp;" nota(s)",IF(NOT(cad_limites_ok),"Pendente: corrija os limites A/B em Critérios",IF(K169=3,"A por Segurança = 3","Classe pela soma e limites")))))))</f>
        <v/>
      </c>
    </row>
    <row r="170">
      <c r="A170" s="36" t="n"/>
      <c r="B170" s="36" t="n"/>
      <c r="C170" s="37" t="n"/>
      <c r="D170" s="36" t="n"/>
      <c r="E170" s="38">
        <f>IF(D170="","",IFERROR(INDEX(lst_tipo_nome,MATCH(D170,lst_tipo_id,0)),"Tipo não cadastrado em Listas"))</f>
        <v/>
      </c>
      <c r="F170" s="36" t="n"/>
      <c r="G170" s="36" t="n"/>
      <c r="H170" s="36" t="n"/>
      <c r="I170" s="39" t="n"/>
      <c r="J170" s="38">
        <f>IF(OR(B170="",D170="",H170="",I170=""),"",IF(B170=H170&amp;"-"&amp;IFERROR(INDEX(lst_tipo_sigla,MATCH(D170,lst_tipo_id,0)),"???")&amp;"-"&amp;RIGHT("00"&amp;I170,3),"OK","Verificar: TAG difere de setor-sigla-número"))</f>
        <v/>
      </c>
      <c r="K170" s="39" t="n"/>
      <c r="L170" s="39" t="n"/>
      <c r="M170" s="39" t="n"/>
      <c r="N170" s="39" t="n"/>
      <c r="O170" s="39" t="n"/>
      <c r="P170" s="38">
        <f>IF(COUNTA(A170:D170)+COUNTA(F170:I170)+COUNTA(K170:O170)=0,"",IF(ISNUMBER(K170),AND(K170=INT(K170),K170&gt;=1,K170&lt;=3),FALSE)+IF(ISNUMBER(L170),AND(L170=INT(L170),L170&gt;=1,L170&lt;=3),FALSE)+IF(ISNUMBER(M170),AND(M170=INT(M170),M170&gt;=1,M170&lt;=3),FALSE)+IF(ISNUMBER(N170),AND(N170=INT(N170),N170&gt;=1,N170&lt;=3),FALSE)+IF(ISNUMBER(O170),AND(O170=INT(O170),O170&gt;=1,O170&lt;=3),FALSE))</f>
        <v/>
      </c>
      <c r="Q170" s="38">
        <f>IF(P170=5,SUM(K170:O170),"")</f>
        <v/>
      </c>
      <c r="R170" s="38">
        <f>IF(P170="","",IF(P170&lt;5,"Pendente",IF(NOT(cad_limites_ok),"Pendente",IF(K170=3,"A",IF(Q170&gt;=cad_limite_a,"A",IF(Q170&gt;=cad_limite_b,"B","C"))))))</f>
        <v/>
      </c>
      <c r="S170" s="40">
        <f>IF(P170="","",IF(A170="","Pendente: falta o ID do ativo",IF(COUNTIF(at_id,A170)&gt;1,"ERRO: ID do ativo duplicado",IF(COUNTA(K170:O170)&gt;P170,"Pendente: nota inválida (use inteiro de 1 a 3)",IF(P170&lt;5,"Pendente: falta(m) "&amp;(5-P170)&amp;" nota(s)",IF(NOT(cad_limites_ok),"Pendente: corrija os limites A/B em Critérios",IF(K170=3,"A por Segurança = 3","Classe pela soma e limites")))))))</f>
        <v/>
      </c>
    </row>
    <row r="171">
      <c r="A171" s="36" t="n"/>
      <c r="B171" s="36" t="n"/>
      <c r="C171" s="37" t="n"/>
      <c r="D171" s="36" t="n"/>
      <c r="E171" s="38">
        <f>IF(D171="","",IFERROR(INDEX(lst_tipo_nome,MATCH(D171,lst_tipo_id,0)),"Tipo não cadastrado em Listas"))</f>
        <v/>
      </c>
      <c r="F171" s="36" t="n"/>
      <c r="G171" s="36" t="n"/>
      <c r="H171" s="36" t="n"/>
      <c r="I171" s="39" t="n"/>
      <c r="J171" s="38">
        <f>IF(OR(B171="",D171="",H171="",I171=""),"",IF(B171=H171&amp;"-"&amp;IFERROR(INDEX(lst_tipo_sigla,MATCH(D171,lst_tipo_id,0)),"???")&amp;"-"&amp;RIGHT("00"&amp;I171,3),"OK","Verificar: TAG difere de setor-sigla-número"))</f>
        <v/>
      </c>
      <c r="K171" s="39" t="n"/>
      <c r="L171" s="39" t="n"/>
      <c r="M171" s="39" t="n"/>
      <c r="N171" s="39" t="n"/>
      <c r="O171" s="39" t="n"/>
      <c r="P171" s="38">
        <f>IF(COUNTA(A171:D171)+COUNTA(F171:I171)+COUNTA(K171:O171)=0,"",IF(ISNUMBER(K171),AND(K171=INT(K171),K171&gt;=1,K171&lt;=3),FALSE)+IF(ISNUMBER(L171),AND(L171=INT(L171),L171&gt;=1,L171&lt;=3),FALSE)+IF(ISNUMBER(M171),AND(M171=INT(M171),M171&gt;=1,M171&lt;=3),FALSE)+IF(ISNUMBER(N171),AND(N171=INT(N171),N171&gt;=1,N171&lt;=3),FALSE)+IF(ISNUMBER(O171),AND(O171=INT(O171),O171&gt;=1,O171&lt;=3),FALSE))</f>
        <v/>
      </c>
      <c r="Q171" s="38">
        <f>IF(P171=5,SUM(K171:O171),"")</f>
        <v/>
      </c>
      <c r="R171" s="38">
        <f>IF(P171="","",IF(P171&lt;5,"Pendente",IF(NOT(cad_limites_ok),"Pendente",IF(K171=3,"A",IF(Q171&gt;=cad_limite_a,"A",IF(Q171&gt;=cad_limite_b,"B","C"))))))</f>
        <v/>
      </c>
      <c r="S171" s="40">
        <f>IF(P171="","",IF(A171="","Pendente: falta o ID do ativo",IF(COUNTIF(at_id,A171)&gt;1,"ERRO: ID do ativo duplicado",IF(COUNTA(K171:O171)&gt;P171,"Pendente: nota inválida (use inteiro de 1 a 3)",IF(P171&lt;5,"Pendente: falta(m) "&amp;(5-P171)&amp;" nota(s)",IF(NOT(cad_limites_ok),"Pendente: corrija os limites A/B em Critérios",IF(K171=3,"A por Segurança = 3","Classe pela soma e limites")))))))</f>
        <v/>
      </c>
    </row>
    <row r="172">
      <c r="A172" s="36" t="n"/>
      <c r="B172" s="36" t="n"/>
      <c r="C172" s="37" t="n"/>
      <c r="D172" s="36" t="n"/>
      <c r="E172" s="38">
        <f>IF(D172="","",IFERROR(INDEX(lst_tipo_nome,MATCH(D172,lst_tipo_id,0)),"Tipo não cadastrado em Listas"))</f>
        <v/>
      </c>
      <c r="F172" s="36" t="n"/>
      <c r="G172" s="36" t="n"/>
      <c r="H172" s="36" t="n"/>
      <c r="I172" s="39" t="n"/>
      <c r="J172" s="38">
        <f>IF(OR(B172="",D172="",H172="",I172=""),"",IF(B172=H172&amp;"-"&amp;IFERROR(INDEX(lst_tipo_sigla,MATCH(D172,lst_tipo_id,0)),"???")&amp;"-"&amp;RIGHT("00"&amp;I172,3),"OK","Verificar: TAG difere de setor-sigla-número"))</f>
        <v/>
      </c>
      <c r="K172" s="39" t="n"/>
      <c r="L172" s="39" t="n"/>
      <c r="M172" s="39" t="n"/>
      <c r="N172" s="39" t="n"/>
      <c r="O172" s="39" t="n"/>
      <c r="P172" s="38">
        <f>IF(COUNTA(A172:D172)+COUNTA(F172:I172)+COUNTA(K172:O172)=0,"",IF(ISNUMBER(K172),AND(K172=INT(K172),K172&gt;=1,K172&lt;=3),FALSE)+IF(ISNUMBER(L172),AND(L172=INT(L172),L172&gt;=1,L172&lt;=3),FALSE)+IF(ISNUMBER(M172),AND(M172=INT(M172),M172&gt;=1,M172&lt;=3),FALSE)+IF(ISNUMBER(N172),AND(N172=INT(N172),N172&gt;=1,N172&lt;=3),FALSE)+IF(ISNUMBER(O172),AND(O172=INT(O172),O172&gt;=1,O172&lt;=3),FALSE))</f>
        <v/>
      </c>
      <c r="Q172" s="38">
        <f>IF(P172=5,SUM(K172:O172),"")</f>
        <v/>
      </c>
      <c r="R172" s="38">
        <f>IF(P172="","",IF(P172&lt;5,"Pendente",IF(NOT(cad_limites_ok),"Pendente",IF(K172=3,"A",IF(Q172&gt;=cad_limite_a,"A",IF(Q172&gt;=cad_limite_b,"B","C"))))))</f>
        <v/>
      </c>
      <c r="S172" s="40">
        <f>IF(P172="","",IF(A172="","Pendente: falta o ID do ativo",IF(COUNTIF(at_id,A172)&gt;1,"ERRO: ID do ativo duplicado",IF(COUNTA(K172:O172)&gt;P172,"Pendente: nota inválida (use inteiro de 1 a 3)",IF(P172&lt;5,"Pendente: falta(m) "&amp;(5-P172)&amp;" nota(s)",IF(NOT(cad_limites_ok),"Pendente: corrija os limites A/B em Critérios",IF(K172=3,"A por Segurança = 3","Classe pela soma e limites")))))))</f>
        <v/>
      </c>
    </row>
    <row r="173">
      <c r="A173" s="36" t="n"/>
      <c r="B173" s="36" t="n"/>
      <c r="C173" s="37" t="n"/>
      <c r="D173" s="36" t="n"/>
      <c r="E173" s="38">
        <f>IF(D173="","",IFERROR(INDEX(lst_tipo_nome,MATCH(D173,lst_tipo_id,0)),"Tipo não cadastrado em Listas"))</f>
        <v/>
      </c>
      <c r="F173" s="36" t="n"/>
      <c r="G173" s="36" t="n"/>
      <c r="H173" s="36" t="n"/>
      <c r="I173" s="39" t="n"/>
      <c r="J173" s="38">
        <f>IF(OR(B173="",D173="",H173="",I173=""),"",IF(B173=H173&amp;"-"&amp;IFERROR(INDEX(lst_tipo_sigla,MATCH(D173,lst_tipo_id,0)),"???")&amp;"-"&amp;RIGHT("00"&amp;I173,3),"OK","Verificar: TAG difere de setor-sigla-número"))</f>
        <v/>
      </c>
      <c r="K173" s="39" t="n"/>
      <c r="L173" s="39" t="n"/>
      <c r="M173" s="39" t="n"/>
      <c r="N173" s="39" t="n"/>
      <c r="O173" s="39" t="n"/>
      <c r="P173" s="38">
        <f>IF(COUNTA(A173:D173)+COUNTA(F173:I173)+COUNTA(K173:O173)=0,"",IF(ISNUMBER(K173),AND(K173=INT(K173),K173&gt;=1,K173&lt;=3),FALSE)+IF(ISNUMBER(L173),AND(L173=INT(L173),L173&gt;=1,L173&lt;=3),FALSE)+IF(ISNUMBER(M173),AND(M173=INT(M173),M173&gt;=1,M173&lt;=3),FALSE)+IF(ISNUMBER(N173),AND(N173=INT(N173),N173&gt;=1,N173&lt;=3),FALSE)+IF(ISNUMBER(O173),AND(O173=INT(O173),O173&gt;=1,O173&lt;=3),FALSE))</f>
        <v/>
      </c>
      <c r="Q173" s="38">
        <f>IF(P173=5,SUM(K173:O173),"")</f>
        <v/>
      </c>
      <c r="R173" s="38">
        <f>IF(P173="","",IF(P173&lt;5,"Pendente",IF(NOT(cad_limites_ok),"Pendente",IF(K173=3,"A",IF(Q173&gt;=cad_limite_a,"A",IF(Q173&gt;=cad_limite_b,"B","C"))))))</f>
        <v/>
      </c>
      <c r="S173" s="40">
        <f>IF(P173="","",IF(A173="","Pendente: falta o ID do ativo",IF(COUNTIF(at_id,A173)&gt;1,"ERRO: ID do ativo duplicado",IF(COUNTA(K173:O173)&gt;P173,"Pendente: nota inválida (use inteiro de 1 a 3)",IF(P173&lt;5,"Pendente: falta(m) "&amp;(5-P173)&amp;" nota(s)",IF(NOT(cad_limites_ok),"Pendente: corrija os limites A/B em Critérios",IF(K173=3,"A por Segurança = 3","Classe pela soma e limites")))))))</f>
        <v/>
      </c>
    </row>
    <row r="174">
      <c r="A174" s="36" t="n"/>
      <c r="B174" s="36" t="n"/>
      <c r="C174" s="37" t="n"/>
      <c r="D174" s="36" t="n"/>
      <c r="E174" s="38">
        <f>IF(D174="","",IFERROR(INDEX(lst_tipo_nome,MATCH(D174,lst_tipo_id,0)),"Tipo não cadastrado em Listas"))</f>
        <v/>
      </c>
      <c r="F174" s="36" t="n"/>
      <c r="G174" s="36" t="n"/>
      <c r="H174" s="36" t="n"/>
      <c r="I174" s="39" t="n"/>
      <c r="J174" s="38">
        <f>IF(OR(B174="",D174="",H174="",I174=""),"",IF(B174=H174&amp;"-"&amp;IFERROR(INDEX(lst_tipo_sigla,MATCH(D174,lst_tipo_id,0)),"???")&amp;"-"&amp;RIGHT("00"&amp;I174,3),"OK","Verificar: TAG difere de setor-sigla-número"))</f>
        <v/>
      </c>
      <c r="K174" s="39" t="n"/>
      <c r="L174" s="39" t="n"/>
      <c r="M174" s="39" t="n"/>
      <c r="N174" s="39" t="n"/>
      <c r="O174" s="39" t="n"/>
      <c r="P174" s="38">
        <f>IF(COUNTA(A174:D174)+COUNTA(F174:I174)+COUNTA(K174:O174)=0,"",IF(ISNUMBER(K174),AND(K174=INT(K174),K174&gt;=1,K174&lt;=3),FALSE)+IF(ISNUMBER(L174),AND(L174=INT(L174),L174&gt;=1,L174&lt;=3),FALSE)+IF(ISNUMBER(M174),AND(M174=INT(M174),M174&gt;=1,M174&lt;=3),FALSE)+IF(ISNUMBER(N174),AND(N174=INT(N174),N174&gt;=1,N174&lt;=3),FALSE)+IF(ISNUMBER(O174),AND(O174=INT(O174),O174&gt;=1,O174&lt;=3),FALSE))</f>
        <v/>
      </c>
      <c r="Q174" s="38">
        <f>IF(P174=5,SUM(K174:O174),"")</f>
        <v/>
      </c>
      <c r="R174" s="38">
        <f>IF(P174="","",IF(P174&lt;5,"Pendente",IF(NOT(cad_limites_ok),"Pendente",IF(K174=3,"A",IF(Q174&gt;=cad_limite_a,"A",IF(Q174&gt;=cad_limite_b,"B","C"))))))</f>
        <v/>
      </c>
      <c r="S174" s="40">
        <f>IF(P174="","",IF(A174="","Pendente: falta o ID do ativo",IF(COUNTIF(at_id,A174)&gt;1,"ERRO: ID do ativo duplicado",IF(COUNTA(K174:O174)&gt;P174,"Pendente: nota inválida (use inteiro de 1 a 3)",IF(P174&lt;5,"Pendente: falta(m) "&amp;(5-P174)&amp;" nota(s)",IF(NOT(cad_limites_ok),"Pendente: corrija os limites A/B em Critérios",IF(K174=3,"A por Segurança = 3","Classe pela soma e limites")))))))</f>
        <v/>
      </c>
    </row>
    <row r="175">
      <c r="A175" s="36" t="n"/>
      <c r="B175" s="36" t="n"/>
      <c r="C175" s="37" t="n"/>
      <c r="D175" s="36" t="n"/>
      <c r="E175" s="38">
        <f>IF(D175="","",IFERROR(INDEX(lst_tipo_nome,MATCH(D175,lst_tipo_id,0)),"Tipo não cadastrado em Listas"))</f>
        <v/>
      </c>
      <c r="F175" s="36" t="n"/>
      <c r="G175" s="36" t="n"/>
      <c r="H175" s="36" t="n"/>
      <c r="I175" s="39" t="n"/>
      <c r="J175" s="38">
        <f>IF(OR(B175="",D175="",H175="",I175=""),"",IF(B175=H175&amp;"-"&amp;IFERROR(INDEX(lst_tipo_sigla,MATCH(D175,lst_tipo_id,0)),"???")&amp;"-"&amp;RIGHT("00"&amp;I175,3),"OK","Verificar: TAG difere de setor-sigla-número"))</f>
        <v/>
      </c>
      <c r="K175" s="39" t="n"/>
      <c r="L175" s="39" t="n"/>
      <c r="M175" s="39" t="n"/>
      <c r="N175" s="39" t="n"/>
      <c r="O175" s="39" t="n"/>
      <c r="P175" s="38">
        <f>IF(COUNTA(A175:D175)+COUNTA(F175:I175)+COUNTA(K175:O175)=0,"",IF(ISNUMBER(K175),AND(K175=INT(K175),K175&gt;=1,K175&lt;=3),FALSE)+IF(ISNUMBER(L175),AND(L175=INT(L175),L175&gt;=1,L175&lt;=3),FALSE)+IF(ISNUMBER(M175),AND(M175=INT(M175),M175&gt;=1,M175&lt;=3),FALSE)+IF(ISNUMBER(N175),AND(N175=INT(N175),N175&gt;=1,N175&lt;=3),FALSE)+IF(ISNUMBER(O175),AND(O175=INT(O175),O175&gt;=1,O175&lt;=3),FALSE))</f>
        <v/>
      </c>
      <c r="Q175" s="38">
        <f>IF(P175=5,SUM(K175:O175),"")</f>
        <v/>
      </c>
      <c r="R175" s="38">
        <f>IF(P175="","",IF(P175&lt;5,"Pendente",IF(NOT(cad_limites_ok),"Pendente",IF(K175=3,"A",IF(Q175&gt;=cad_limite_a,"A",IF(Q175&gt;=cad_limite_b,"B","C"))))))</f>
        <v/>
      </c>
      <c r="S175" s="40">
        <f>IF(P175="","",IF(A175="","Pendente: falta o ID do ativo",IF(COUNTIF(at_id,A175)&gt;1,"ERRO: ID do ativo duplicado",IF(COUNTA(K175:O175)&gt;P175,"Pendente: nota inválida (use inteiro de 1 a 3)",IF(P175&lt;5,"Pendente: falta(m) "&amp;(5-P175)&amp;" nota(s)",IF(NOT(cad_limites_ok),"Pendente: corrija os limites A/B em Critérios",IF(K175=3,"A por Segurança = 3","Classe pela soma e limites")))))))</f>
        <v/>
      </c>
    </row>
    <row r="176">
      <c r="A176" s="36" t="n"/>
      <c r="B176" s="36" t="n"/>
      <c r="C176" s="37" t="n"/>
      <c r="D176" s="36" t="n"/>
      <c r="E176" s="38">
        <f>IF(D176="","",IFERROR(INDEX(lst_tipo_nome,MATCH(D176,lst_tipo_id,0)),"Tipo não cadastrado em Listas"))</f>
        <v/>
      </c>
      <c r="F176" s="36" t="n"/>
      <c r="G176" s="36" t="n"/>
      <c r="H176" s="36" t="n"/>
      <c r="I176" s="39" t="n"/>
      <c r="J176" s="38">
        <f>IF(OR(B176="",D176="",H176="",I176=""),"",IF(B176=H176&amp;"-"&amp;IFERROR(INDEX(lst_tipo_sigla,MATCH(D176,lst_tipo_id,0)),"???")&amp;"-"&amp;RIGHT("00"&amp;I176,3),"OK","Verificar: TAG difere de setor-sigla-número"))</f>
        <v/>
      </c>
      <c r="K176" s="39" t="n"/>
      <c r="L176" s="39" t="n"/>
      <c r="M176" s="39" t="n"/>
      <c r="N176" s="39" t="n"/>
      <c r="O176" s="39" t="n"/>
      <c r="P176" s="38">
        <f>IF(COUNTA(A176:D176)+COUNTA(F176:I176)+COUNTA(K176:O176)=0,"",IF(ISNUMBER(K176),AND(K176=INT(K176),K176&gt;=1,K176&lt;=3),FALSE)+IF(ISNUMBER(L176),AND(L176=INT(L176),L176&gt;=1,L176&lt;=3),FALSE)+IF(ISNUMBER(M176),AND(M176=INT(M176),M176&gt;=1,M176&lt;=3),FALSE)+IF(ISNUMBER(N176),AND(N176=INT(N176),N176&gt;=1,N176&lt;=3),FALSE)+IF(ISNUMBER(O176),AND(O176=INT(O176),O176&gt;=1,O176&lt;=3),FALSE))</f>
        <v/>
      </c>
      <c r="Q176" s="38">
        <f>IF(P176=5,SUM(K176:O176),"")</f>
        <v/>
      </c>
      <c r="R176" s="38">
        <f>IF(P176="","",IF(P176&lt;5,"Pendente",IF(NOT(cad_limites_ok),"Pendente",IF(K176=3,"A",IF(Q176&gt;=cad_limite_a,"A",IF(Q176&gt;=cad_limite_b,"B","C"))))))</f>
        <v/>
      </c>
      <c r="S176" s="40">
        <f>IF(P176="","",IF(A176="","Pendente: falta o ID do ativo",IF(COUNTIF(at_id,A176)&gt;1,"ERRO: ID do ativo duplicado",IF(COUNTA(K176:O176)&gt;P176,"Pendente: nota inválida (use inteiro de 1 a 3)",IF(P176&lt;5,"Pendente: falta(m) "&amp;(5-P176)&amp;" nota(s)",IF(NOT(cad_limites_ok),"Pendente: corrija os limites A/B em Critérios",IF(K176=3,"A por Segurança = 3","Classe pela soma e limites")))))))</f>
        <v/>
      </c>
    </row>
    <row r="177">
      <c r="A177" s="36" t="n"/>
      <c r="B177" s="36" t="n"/>
      <c r="C177" s="37" t="n"/>
      <c r="D177" s="36" t="n"/>
      <c r="E177" s="38">
        <f>IF(D177="","",IFERROR(INDEX(lst_tipo_nome,MATCH(D177,lst_tipo_id,0)),"Tipo não cadastrado em Listas"))</f>
        <v/>
      </c>
      <c r="F177" s="36" t="n"/>
      <c r="G177" s="36" t="n"/>
      <c r="H177" s="36" t="n"/>
      <c r="I177" s="39" t="n"/>
      <c r="J177" s="38">
        <f>IF(OR(B177="",D177="",H177="",I177=""),"",IF(B177=H177&amp;"-"&amp;IFERROR(INDEX(lst_tipo_sigla,MATCH(D177,lst_tipo_id,0)),"???")&amp;"-"&amp;RIGHT("00"&amp;I177,3),"OK","Verificar: TAG difere de setor-sigla-número"))</f>
        <v/>
      </c>
      <c r="K177" s="39" t="n"/>
      <c r="L177" s="39" t="n"/>
      <c r="M177" s="39" t="n"/>
      <c r="N177" s="39" t="n"/>
      <c r="O177" s="39" t="n"/>
      <c r="P177" s="38">
        <f>IF(COUNTA(A177:D177)+COUNTA(F177:I177)+COUNTA(K177:O177)=0,"",IF(ISNUMBER(K177),AND(K177=INT(K177),K177&gt;=1,K177&lt;=3),FALSE)+IF(ISNUMBER(L177),AND(L177=INT(L177),L177&gt;=1,L177&lt;=3),FALSE)+IF(ISNUMBER(M177),AND(M177=INT(M177),M177&gt;=1,M177&lt;=3),FALSE)+IF(ISNUMBER(N177),AND(N177=INT(N177),N177&gt;=1,N177&lt;=3),FALSE)+IF(ISNUMBER(O177),AND(O177=INT(O177),O177&gt;=1,O177&lt;=3),FALSE))</f>
        <v/>
      </c>
      <c r="Q177" s="38">
        <f>IF(P177=5,SUM(K177:O177),"")</f>
        <v/>
      </c>
      <c r="R177" s="38">
        <f>IF(P177="","",IF(P177&lt;5,"Pendente",IF(NOT(cad_limites_ok),"Pendente",IF(K177=3,"A",IF(Q177&gt;=cad_limite_a,"A",IF(Q177&gt;=cad_limite_b,"B","C"))))))</f>
        <v/>
      </c>
      <c r="S177" s="40">
        <f>IF(P177="","",IF(A177="","Pendente: falta o ID do ativo",IF(COUNTIF(at_id,A177)&gt;1,"ERRO: ID do ativo duplicado",IF(COUNTA(K177:O177)&gt;P177,"Pendente: nota inválida (use inteiro de 1 a 3)",IF(P177&lt;5,"Pendente: falta(m) "&amp;(5-P177)&amp;" nota(s)",IF(NOT(cad_limites_ok),"Pendente: corrija os limites A/B em Critérios",IF(K177=3,"A por Segurança = 3","Classe pela soma e limites")))))))</f>
        <v/>
      </c>
    </row>
    <row r="178">
      <c r="A178" s="36" t="n"/>
      <c r="B178" s="36" t="n"/>
      <c r="C178" s="37" t="n"/>
      <c r="D178" s="36" t="n"/>
      <c r="E178" s="38">
        <f>IF(D178="","",IFERROR(INDEX(lst_tipo_nome,MATCH(D178,lst_tipo_id,0)),"Tipo não cadastrado em Listas"))</f>
        <v/>
      </c>
      <c r="F178" s="36" t="n"/>
      <c r="G178" s="36" t="n"/>
      <c r="H178" s="36" t="n"/>
      <c r="I178" s="39" t="n"/>
      <c r="J178" s="38">
        <f>IF(OR(B178="",D178="",H178="",I178=""),"",IF(B178=H178&amp;"-"&amp;IFERROR(INDEX(lst_tipo_sigla,MATCH(D178,lst_tipo_id,0)),"???")&amp;"-"&amp;RIGHT("00"&amp;I178,3),"OK","Verificar: TAG difere de setor-sigla-número"))</f>
        <v/>
      </c>
      <c r="K178" s="39" t="n"/>
      <c r="L178" s="39" t="n"/>
      <c r="M178" s="39" t="n"/>
      <c r="N178" s="39" t="n"/>
      <c r="O178" s="39" t="n"/>
      <c r="P178" s="38">
        <f>IF(COUNTA(A178:D178)+COUNTA(F178:I178)+COUNTA(K178:O178)=0,"",IF(ISNUMBER(K178),AND(K178=INT(K178),K178&gt;=1,K178&lt;=3),FALSE)+IF(ISNUMBER(L178),AND(L178=INT(L178),L178&gt;=1,L178&lt;=3),FALSE)+IF(ISNUMBER(M178),AND(M178=INT(M178),M178&gt;=1,M178&lt;=3),FALSE)+IF(ISNUMBER(N178),AND(N178=INT(N178),N178&gt;=1,N178&lt;=3),FALSE)+IF(ISNUMBER(O178),AND(O178=INT(O178),O178&gt;=1,O178&lt;=3),FALSE))</f>
        <v/>
      </c>
      <c r="Q178" s="38">
        <f>IF(P178=5,SUM(K178:O178),"")</f>
        <v/>
      </c>
      <c r="R178" s="38">
        <f>IF(P178="","",IF(P178&lt;5,"Pendente",IF(NOT(cad_limites_ok),"Pendente",IF(K178=3,"A",IF(Q178&gt;=cad_limite_a,"A",IF(Q178&gt;=cad_limite_b,"B","C"))))))</f>
        <v/>
      </c>
      <c r="S178" s="40">
        <f>IF(P178="","",IF(A178="","Pendente: falta o ID do ativo",IF(COUNTIF(at_id,A178)&gt;1,"ERRO: ID do ativo duplicado",IF(COUNTA(K178:O178)&gt;P178,"Pendente: nota inválida (use inteiro de 1 a 3)",IF(P178&lt;5,"Pendente: falta(m) "&amp;(5-P178)&amp;" nota(s)",IF(NOT(cad_limites_ok),"Pendente: corrija os limites A/B em Critérios",IF(K178=3,"A por Segurança = 3","Classe pela soma e limites")))))))</f>
        <v/>
      </c>
    </row>
    <row r="179">
      <c r="A179" s="36" t="n"/>
      <c r="B179" s="36" t="n"/>
      <c r="C179" s="37" t="n"/>
      <c r="D179" s="36" t="n"/>
      <c r="E179" s="38">
        <f>IF(D179="","",IFERROR(INDEX(lst_tipo_nome,MATCH(D179,lst_tipo_id,0)),"Tipo não cadastrado em Listas"))</f>
        <v/>
      </c>
      <c r="F179" s="36" t="n"/>
      <c r="G179" s="36" t="n"/>
      <c r="H179" s="36" t="n"/>
      <c r="I179" s="39" t="n"/>
      <c r="J179" s="38">
        <f>IF(OR(B179="",D179="",H179="",I179=""),"",IF(B179=H179&amp;"-"&amp;IFERROR(INDEX(lst_tipo_sigla,MATCH(D179,lst_tipo_id,0)),"???")&amp;"-"&amp;RIGHT("00"&amp;I179,3),"OK","Verificar: TAG difere de setor-sigla-número"))</f>
        <v/>
      </c>
      <c r="K179" s="39" t="n"/>
      <c r="L179" s="39" t="n"/>
      <c r="M179" s="39" t="n"/>
      <c r="N179" s="39" t="n"/>
      <c r="O179" s="39" t="n"/>
      <c r="P179" s="38">
        <f>IF(COUNTA(A179:D179)+COUNTA(F179:I179)+COUNTA(K179:O179)=0,"",IF(ISNUMBER(K179),AND(K179=INT(K179),K179&gt;=1,K179&lt;=3),FALSE)+IF(ISNUMBER(L179),AND(L179=INT(L179),L179&gt;=1,L179&lt;=3),FALSE)+IF(ISNUMBER(M179),AND(M179=INT(M179),M179&gt;=1,M179&lt;=3),FALSE)+IF(ISNUMBER(N179),AND(N179=INT(N179),N179&gt;=1,N179&lt;=3),FALSE)+IF(ISNUMBER(O179),AND(O179=INT(O179),O179&gt;=1,O179&lt;=3),FALSE))</f>
        <v/>
      </c>
      <c r="Q179" s="38">
        <f>IF(P179=5,SUM(K179:O179),"")</f>
        <v/>
      </c>
      <c r="R179" s="38">
        <f>IF(P179="","",IF(P179&lt;5,"Pendente",IF(NOT(cad_limites_ok),"Pendente",IF(K179=3,"A",IF(Q179&gt;=cad_limite_a,"A",IF(Q179&gt;=cad_limite_b,"B","C"))))))</f>
        <v/>
      </c>
      <c r="S179" s="40">
        <f>IF(P179="","",IF(A179="","Pendente: falta o ID do ativo",IF(COUNTIF(at_id,A179)&gt;1,"ERRO: ID do ativo duplicado",IF(COUNTA(K179:O179)&gt;P179,"Pendente: nota inválida (use inteiro de 1 a 3)",IF(P179&lt;5,"Pendente: falta(m) "&amp;(5-P179)&amp;" nota(s)",IF(NOT(cad_limites_ok),"Pendente: corrija os limites A/B em Critérios",IF(K179=3,"A por Segurança = 3","Classe pela soma e limites")))))))</f>
        <v/>
      </c>
    </row>
    <row r="180">
      <c r="A180" s="36" t="n"/>
      <c r="B180" s="36" t="n"/>
      <c r="C180" s="37" t="n"/>
      <c r="D180" s="36" t="n"/>
      <c r="E180" s="38">
        <f>IF(D180="","",IFERROR(INDEX(lst_tipo_nome,MATCH(D180,lst_tipo_id,0)),"Tipo não cadastrado em Listas"))</f>
        <v/>
      </c>
      <c r="F180" s="36" t="n"/>
      <c r="G180" s="36" t="n"/>
      <c r="H180" s="36" t="n"/>
      <c r="I180" s="39" t="n"/>
      <c r="J180" s="38">
        <f>IF(OR(B180="",D180="",H180="",I180=""),"",IF(B180=H180&amp;"-"&amp;IFERROR(INDEX(lst_tipo_sigla,MATCH(D180,lst_tipo_id,0)),"???")&amp;"-"&amp;RIGHT("00"&amp;I180,3),"OK","Verificar: TAG difere de setor-sigla-número"))</f>
        <v/>
      </c>
      <c r="K180" s="39" t="n"/>
      <c r="L180" s="39" t="n"/>
      <c r="M180" s="39" t="n"/>
      <c r="N180" s="39" t="n"/>
      <c r="O180" s="39" t="n"/>
      <c r="P180" s="38">
        <f>IF(COUNTA(A180:D180)+COUNTA(F180:I180)+COUNTA(K180:O180)=0,"",IF(ISNUMBER(K180),AND(K180=INT(K180),K180&gt;=1,K180&lt;=3),FALSE)+IF(ISNUMBER(L180),AND(L180=INT(L180),L180&gt;=1,L180&lt;=3),FALSE)+IF(ISNUMBER(M180),AND(M180=INT(M180),M180&gt;=1,M180&lt;=3),FALSE)+IF(ISNUMBER(N180),AND(N180=INT(N180),N180&gt;=1,N180&lt;=3),FALSE)+IF(ISNUMBER(O180),AND(O180=INT(O180),O180&gt;=1,O180&lt;=3),FALSE))</f>
        <v/>
      </c>
      <c r="Q180" s="38">
        <f>IF(P180=5,SUM(K180:O180),"")</f>
        <v/>
      </c>
      <c r="R180" s="38">
        <f>IF(P180="","",IF(P180&lt;5,"Pendente",IF(NOT(cad_limites_ok),"Pendente",IF(K180=3,"A",IF(Q180&gt;=cad_limite_a,"A",IF(Q180&gt;=cad_limite_b,"B","C"))))))</f>
        <v/>
      </c>
      <c r="S180" s="40">
        <f>IF(P180="","",IF(A180="","Pendente: falta o ID do ativo",IF(COUNTIF(at_id,A180)&gt;1,"ERRO: ID do ativo duplicado",IF(COUNTA(K180:O180)&gt;P180,"Pendente: nota inválida (use inteiro de 1 a 3)",IF(P180&lt;5,"Pendente: falta(m) "&amp;(5-P180)&amp;" nota(s)",IF(NOT(cad_limites_ok),"Pendente: corrija os limites A/B em Critérios",IF(K180=3,"A por Segurança = 3","Classe pela soma e limites")))))))</f>
        <v/>
      </c>
    </row>
    <row r="181">
      <c r="A181" s="36" t="n"/>
      <c r="B181" s="36" t="n"/>
      <c r="C181" s="37" t="n"/>
      <c r="D181" s="36" t="n"/>
      <c r="E181" s="38">
        <f>IF(D181="","",IFERROR(INDEX(lst_tipo_nome,MATCH(D181,lst_tipo_id,0)),"Tipo não cadastrado em Listas"))</f>
        <v/>
      </c>
      <c r="F181" s="36" t="n"/>
      <c r="G181" s="36" t="n"/>
      <c r="H181" s="36" t="n"/>
      <c r="I181" s="39" t="n"/>
      <c r="J181" s="38">
        <f>IF(OR(B181="",D181="",H181="",I181=""),"",IF(B181=H181&amp;"-"&amp;IFERROR(INDEX(lst_tipo_sigla,MATCH(D181,lst_tipo_id,0)),"???")&amp;"-"&amp;RIGHT("00"&amp;I181,3),"OK","Verificar: TAG difere de setor-sigla-número"))</f>
        <v/>
      </c>
      <c r="K181" s="39" t="n"/>
      <c r="L181" s="39" t="n"/>
      <c r="M181" s="39" t="n"/>
      <c r="N181" s="39" t="n"/>
      <c r="O181" s="39" t="n"/>
      <c r="P181" s="38">
        <f>IF(COUNTA(A181:D181)+COUNTA(F181:I181)+COUNTA(K181:O181)=0,"",IF(ISNUMBER(K181),AND(K181=INT(K181),K181&gt;=1,K181&lt;=3),FALSE)+IF(ISNUMBER(L181),AND(L181=INT(L181),L181&gt;=1,L181&lt;=3),FALSE)+IF(ISNUMBER(M181),AND(M181=INT(M181),M181&gt;=1,M181&lt;=3),FALSE)+IF(ISNUMBER(N181),AND(N181=INT(N181),N181&gt;=1,N181&lt;=3),FALSE)+IF(ISNUMBER(O181),AND(O181=INT(O181),O181&gt;=1,O181&lt;=3),FALSE))</f>
        <v/>
      </c>
      <c r="Q181" s="38">
        <f>IF(P181=5,SUM(K181:O181),"")</f>
        <v/>
      </c>
      <c r="R181" s="38">
        <f>IF(P181="","",IF(P181&lt;5,"Pendente",IF(NOT(cad_limites_ok),"Pendente",IF(K181=3,"A",IF(Q181&gt;=cad_limite_a,"A",IF(Q181&gt;=cad_limite_b,"B","C"))))))</f>
        <v/>
      </c>
      <c r="S181" s="40">
        <f>IF(P181="","",IF(A181="","Pendente: falta o ID do ativo",IF(COUNTIF(at_id,A181)&gt;1,"ERRO: ID do ativo duplicado",IF(COUNTA(K181:O181)&gt;P181,"Pendente: nota inválida (use inteiro de 1 a 3)",IF(P181&lt;5,"Pendente: falta(m) "&amp;(5-P181)&amp;" nota(s)",IF(NOT(cad_limites_ok),"Pendente: corrija os limites A/B em Critérios",IF(K181=3,"A por Segurança = 3","Classe pela soma e limites")))))))</f>
        <v/>
      </c>
    </row>
    <row r="182">
      <c r="A182" s="36" t="n"/>
      <c r="B182" s="36" t="n"/>
      <c r="C182" s="37" t="n"/>
      <c r="D182" s="36" t="n"/>
      <c r="E182" s="38">
        <f>IF(D182="","",IFERROR(INDEX(lst_tipo_nome,MATCH(D182,lst_tipo_id,0)),"Tipo não cadastrado em Listas"))</f>
        <v/>
      </c>
      <c r="F182" s="36" t="n"/>
      <c r="G182" s="36" t="n"/>
      <c r="H182" s="36" t="n"/>
      <c r="I182" s="39" t="n"/>
      <c r="J182" s="38">
        <f>IF(OR(B182="",D182="",H182="",I182=""),"",IF(B182=H182&amp;"-"&amp;IFERROR(INDEX(lst_tipo_sigla,MATCH(D182,lst_tipo_id,0)),"???")&amp;"-"&amp;RIGHT("00"&amp;I182,3),"OK","Verificar: TAG difere de setor-sigla-número"))</f>
        <v/>
      </c>
      <c r="K182" s="39" t="n"/>
      <c r="L182" s="39" t="n"/>
      <c r="M182" s="39" t="n"/>
      <c r="N182" s="39" t="n"/>
      <c r="O182" s="39" t="n"/>
      <c r="P182" s="38">
        <f>IF(COUNTA(A182:D182)+COUNTA(F182:I182)+COUNTA(K182:O182)=0,"",IF(ISNUMBER(K182),AND(K182=INT(K182),K182&gt;=1,K182&lt;=3),FALSE)+IF(ISNUMBER(L182),AND(L182=INT(L182),L182&gt;=1,L182&lt;=3),FALSE)+IF(ISNUMBER(M182),AND(M182=INT(M182),M182&gt;=1,M182&lt;=3),FALSE)+IF(ISNUMBER(N182),AND(N182=INT(N182),N182&gt;=1,N182&lt;=3),FALSE)+IF(ISNUMBER(O182),AND(O182=INT(O182),O182&gt;=1,O182&lt;=3),FALSE))</f>
        <v/>
      </c>
      <c r="Q182" s="38">
        <f>IF(P182=5,SUM(K182:O182),"")</f>
        <v/>
      </c>
      <c r="R182" s="38">
        <f>IF(P182="","",IF(P182&lt;5,"Pendente",IF(NOT(cad_limites_ok),"Pendente",IF(K182=3,"A",IF(Q182&gt;=cad_limite_a,"A",IF(Q182&gt;=cad_limite_b,"B","C"))))))</f>
        <v/>
      </c>
      <c r="S182" s="40">
        <f>IF(P182="","",IF(A182="","Pendente: falta o ID do ativo",IF(COUNTIF(at_id,A182)&gt;1,"ERRO: ID do ativo duplicado",IF(COUNTA(K182:O182)&gt;P182,"Pendente: nota inválida (use inteiro de 1 a 3)",IF(P182&lt;5,"Pendente: falta(m) "&amp;(5-P182)&amp;" nota(s)",IF(NOT(cad_limites_ok),"Pendente: corrija os limites A/B em Critérios",IF(K182=3,"A por Segurança = 3","Classe pela soma e limites")))))))</f>
        <v/>
      </c>
    </row>
    <row r="183">
      <c r="A183" s="36" t="n"/>
      <c r="B183" s="36" t="n"/>
      <c r="C183" s="37" t="n"/>
      <c r="D183" s="36" t="n"/>
      <c r="E183" s="38">
        <f>IF(D183="","",IFERROR(INDEX(lst_tipo_nome,MATCH(D183,lst_tipo_id,0)),"Tipo não cadastrado em Listas"))</f>
        <v/>
      </c>
      <c r="F183" s="36" t="n"/>
      <c r="G183" s="36" t="n"/>
      <c r="H183" s="36" t="n"/>
      <c r="I183" s="39" t="n"/>
      <c r="J183" s="38">
        <f>IF(OR(B183="",D183="",H183="",I183=""),"",IF(B183=H183&amp;"-"&amp;IFERROR(INDEX(lst_tipo_sigla,MATCH(D183,lst_tipo_id,0)),"???")&amp;"-"&amp;RIGHT("00"&amp;I183,3),"OK","Verificar: TAG difere de setor-sigla-número"))</f>
        <v/>
      </c>
      <c r="K183" s="39" t="n"/>
      <c r="L183" s="39" t="n"/>
      <c r="M183" s="39" t="n"/>
      <c r="N183" s="39" t="n"/>
      <c r="O183" s="39" t="n"/>
      <c r="P183" s="38">
        <f>IF(COUNTA(A183:D183)+COUNTA(F183:I183)+COUNTA(K183:O183)=0,"",IF(ISNUMBER(K183),AND(K183=INT(K183),K183&gt;=1,K183&lt;=3),FALSE)+IF(ISNUMBER(L183),AND(L183=INT(L183),L183&gt;=1,L183&lt;=3),FALSE)+IF(ISNUMBER(M183),AND(M183=INT(M183),M183&gt;=1,M183&lt;=3),FALSE)+IF(ISNUMBER(N183),AND(N183=INT(N183),N183&gt;=1,N183&lt;=3),FALSE)+IF(ISNUMBER(O183),AND(O183=INT(O183),O183&gt;=1,O183&lt;=3),FALSE))</f>
        <v/>
      </c>
      <c r="Q183" s="38">
        <f>IF(P183=5,SUM(K183:O183),"")</f>
        <v/>
      </c>
      <c r="R183" s="38">
        <f>IF(P183="","",IF(P183&lt;5,"Pendente",IF(NOT(cad_limites_ok),"Pendente",IF(K183=3,"A",IF(Q183&gt;=cad_limite_a,"A",IF(Q183&gt;=cad_limite_b,"B","C"))))))</f>
        <v/>
      </c>
      <c r="S183" s="40">
        <f>IF(P183="","",IF(A183="","Pendente: falta o ID do ativo",IF(COUNTIF(at_id,A183)&gt;1,"ERRO: ID do ativo duplicado",IF(COUNTA(K183:O183)&gt;P183,"Pendente: nota inválida (use inteiro de 1 a 3)",IF(P183&lt;5,"Pendente: falta(m) "&amp;(5-P183)&amp;" nota(s)",IF(NOT(cad_limites_ok),"Pendente: corrija os limites A/B em Critérios",IF(K183=3,"A por Segurança = 3","Classe pela soma e limites")))))))</f>
        <v/>
      </c>
    </row>
    <row r="184">
      <c r="A184" s="36" t="n"/>
      <c r="B184" s="36" t="n"/>
      <c r="C184" s="37" t="n"/>
      <c r="D184" s="36" t="n"/>
      <c r="E184" s="38">
        <f>IF(D184="","",IFERROR(INDEX(lst_tipo_nome,MATCH(D184,lst_tipo_id,0)),"Tipo não cadastrado em Listas"))</f>
        <v/>
      </c>
      <c r="F184" s="36" t="n"/>
      <c r="G184" s="36" t="n"/>
      <c r="H184" s="36" t="n"/>
      <c r="I184" s="39" t="n"/>
      <c r="J184" s="38">
        <f>IF(OR(B184="",D184="",H184="",I184=""),"",IF(B184=H184&amp;"-"&amp;IFERROR(INDEX(lst_tipo_sigla,MATCH(D184,lst_tipo_id,0)),"???")&amp;"-"&amp;RIGHT("00"&amp;I184,3),"OK","Verificar: TAG difere de setor-sigla-número"))</f>
        <v/>
      </c>
      <c r="K184" s="39" t="n"/>
      <c r="L184" s="39" t="n"/>
      <c r="M184" s="39" t="n"/>
      <c r="N184" s="39" t="n"/>
      <c r="O184" s="39" t="n"/>
      <c r="P184" s="38">
        <f>IF(COUNTA(A184:D184)+COUNTA(F184:I184)+COUNTA(K184:O184)=0,"",IF(ISNUMBER(K184),AND(K184=INT(K184),K184&gt;=1,K184&lt;=3),FALSE)+IF(ISNUMBER(L184),AND(L184=INT(L184),L184&gt;=1,L184&lt;=3),FALSE)+IF(ISNUMBER(M184),AND(M184=INT(M184),M184&gt;=1,M184&lt;=3),FALSE)+IF(ISNUMBER(N184),AND(N184=INT(N184),N184&gt;=1,N184&lt;=3),FALSE)+IF(ISNUMBER(O184),AND(O184=INT(O184),O184&gt;=1,O184&lt;=3),FALSE))</f>
        <v/>
      </c>
      <c r="Q184" s="38">
        <f>IF(P184=5,SUM(K184:O184),"")</f>
        <v/>
      </c>
      <c r="R184" s="38">
        <f>IF(P184="","",IF(P184&lt;5,"Pendente",IF(NOT(cad_limites_ok),"Pendente",IF(K184=3,"A",IF(Q184&gt;=cad_limite_a,"A",IF(Q184&gt;=cad_limite_b,"B","C"))))))</f>
        <v/>
      </c>
      <c r="S184" s="40">
        <f>IF(P184="","",IF(A184="","Pendente: falta o ID do ativo",IF(COUNTIF(at_id,A184)&gt;1,"ERRO: ID do ativo duplicado",IF(COUNTA(K184:O184)&gt;P184,"Pendente: nota inválida (use inteiro de 1 a 3)",IF(P184&lt;5,"Pendente: falta(m) "&amp;(5-P184)&amp;" nota(s)",IF(NOT(cad_limites_ok),"Pendente: corrija os limites A/B em Critérios",IF(K184=3,"A por Segurança = 3","Classe pela soma e limites")))))))</f>
        <v/>
      </c>
    </row>
    <row r="185">
      <c r="A185" s="36" t="n"/>
      <c r="B185" s="36" t="n"/>
      <c r="C185" s="37" t="n"/>
      <c r="D185" s="36" t="n"/>
      <c r="E185" s="38">
        <f>IF(D185="","",IFERROR(INDEX(lst_tipo_nome,MATCH(D185,lst_tipo_id,0)),"Tipo não cadastrado em Listas"))</f>
        <v/>
      </c>
      <c r="F185" s="36" t="n"/>
      <c r="G185" s="36" t="n"/>
      <c r="H185" s="36" t="n"/>
      <c r="I185" s="39" t="n"/>
      <c r="J185" s="38">
        <f>IF(OR(B185="",D185="",H185="",I185=""),"",IF(B185=H185&amp;"-"&amp;IFERROR(INDEX(lst_tipo_sigla,MATCH(D185,lst_tipo_id,0)),"???")&amp;"-"&amp;RIGHT("00"&amp;I185,3),"OK","Verificar: TAG difere de setor-sigla-número"))</f>
        <v/>
      </c>
      <c r="K185" s="39" t="n"/>
      <c r="L185" s="39" t="n"/>
      <c r="M185" s="39" t="n"/>
      <c r="N185" s="39" t="n"/>
      <c r="O185" s="39" t="n"/>
      <c r="P185" s="38">
        <f>IF(COUNTA(A185:D185)+COUNTA(F185:I185)+COUNTA(K185:O185)=0,"",IF(ISNUMBER(K185),AND(K185=INT(K185),K185&gt;=1,K185&lt;=3),FALSE)+IF(ISNUMBER(L185),AND(L185=INT(L185),L185&gt;=1,L185&lt;=3),FALSE)+IF(ISNUMBER(M185),AND(M185=INT(M185),M185&gt;=1,M185&lt;=3),FALSE)+IF(ISNUMBER(N185),AND(N185=INT(N185),N185&gt;=1,N185&lt;=3),FALSE)+IF(ISNUMBER(O185),AND(O185=INT(O185),O185&gt;=1,O185&lt;=3),FALSE))</f>
        <v/>
      </c>
      <c r="Q185" s="38">
        <f>IF(P185=5,SUM(K185:O185),"")</f>
        <v/>
      </c>
      <c r="R185" s="38">
        <f>IF(P185="","",IF(P185&lt;5,"Pendente",IF(NOT(cad_limites_ok),"Pendente",IF(K185=3,"A",IF(Q185&gt;=cad_limite_a,"A",IF(Q185&gt;=cad_limite_b,"B","C"))))))</f>
        <v/>
      </c>
      <c r="S185" s="40">
        <f>IF(P185="","",IF(A185="","Pendente: falta o ID do ativo",IF(COUNTIF(at_id,A185)&gt;1,"ERRO: ID do ativo duplicado",IF(COUNTA(K185:O185)&gt;P185,"Pendente: nota inválida (use inteiro de 1 a 3)",IF(P185&lt;5,"Pendente: falta(m) "&amp;(5-P185)&amp;" nota(s)",IF(NOT(cad_limites_ok),"Pendente: corrija os limites A/B em Critérios",IF(K185=3,"A por Segurança = 3","Classe pela soma e limites")))))))</f>
        <v/>
      </c>
    </row>
    <row r="186">
      <c r="A186" s="36" t="n"/>
      <c r="B186" s="36" t="n"/>
      <c r="C186" s="37" t="n"/>
      <c r="D186" s="36" t="n"/>
      <c r="E186" s="38">
        <f>IF(D186="","",IFERROR(INDEX(lst_tipo_nome,MATCH(D186,lst_tipo_id,0)),"Tipo não cadastrado em Listas"))</f>
        <v/>
      </c>
      <c r="F186" s="36" t="n"/>
      <c r="G186" s="36" t="n"/>
      <c r="H186" s="36" t="n"/>
      <c r="I186" s="39" t="n"/>
      <c r="J186" s="38">
        <f>IF(OR(B186="",D186="",H186="",I186=""),"",IF(B186=H186&amp;"-"&amp;IFERROR(INDEX(lst_tipo_sigla,MATCH(D186,lst_tipo_id,0)),"???")&amp;"-"&amp;RIGHT("00"&amp;I186,3),"OK","Verificar: TAG difere de setor-sigla-número"))</f>
        <v/>
      </c>
      <c r="K186" s="39" t="n"/>
      <c r="L186" s="39" t="n"/>
      <c r="M186" s="39" t="n"/>
      <c r="N186" s="39" t="n"/>
      <c r="O186" s="39" t="n"/>
      <c r="P186" s="38">
        <f>IF(COUNTA(A186:D186)+COUNTA(F186:I186)+COUNTA(K186:O186)=0,"",IF(ISNUMBER(K186),AND(K186=INT(K186),K186&gt;=1,K186&lt;=3),FALSE)+IF(ISNUMBER(L186),AND(L186=INT(L186),L186&gt;=1,L186&lt;=3),FALSE)+IF(ISNUMBER(M186),AND(M186=INT(M186),M186&gt;=1,M186&lt;=3),FALSE)+IF(ISNUMBER(N186),AND(N186=INT(N186),N186&gt;=1,N186&lt;=3),FALSE)+IF(ISNUMBER(O186),AND(O186=INT(O186),O186&gt;=1,O186&lt;=3),FALSE))</f>
        <v/>
      </c>
      <c r="Q186" s="38">
        <f>IF(P186=5,SUM(K186:O186),"")</f>
        <v/>
      </c>
      <c r="R186" s="38">
        <f>IF(P186="","",IF(P186&lt;5,"Pendente",IF(NOT(cad_limites_ok),"Pendente",IF(K186=3,"A",IF(Q186&gt;=cad_limite_a,"A",IF(Q186&gt;=cad_limite_b,"B","C"))))))</f>
        <v/>
      </c>
      <c r="S186" s="40">
        <f>IF(P186="","",IF(A186="","Pendente: falta o ID do ativo",IF(COUNTIF(at_id,A186)&gt;1,"ERRO: ID do ativo duplicado",IF(COUNTA(K186:O186)&gt;P186,"Pendente: nota inválida (use inteiro de 1 a 3)",IF(P186&lt;5,"Pendente: falta(m) "&amp;(5-P186)&amp;" nota(s)",IF(NOT(cad_limites_ok),"Pendente: corrija os limites A/B em Critérios",IF(K186=3,"A por Segurança = 3","Classe pela soma e limites")))))))</f>
        <v/>
      </c>
    </row>
    <row r="187">
      <c r="A187" s="36" t="n"/>
      <c r="B187" s="36" t="n"/>
      <c r="C187" s="37" t="n"/>
      <c r="D187" s="36" t="n"/>
      <c r="E187" s="38">
        <f>IF(D187="","",IFERROR(INDEX(lst_tipo_nome,MATCH(D187,lst_tipo_id,0)),"Tipo não cadastrado em Listas"))</f>
        <v/>
      </c>
      <c r="F187" s="36" t="n"/>
      <c r="G187" s="36" t="n"/>
      <c r="H187" s="36" t="n"/>
      <c r="I187" s="39" t="n"/>
      <c r="J187" s="38">
        <f>IF(OR(B187="",D187="",H187="",I187=""),"",IF(B187=H187&amp;"-"&amp;IFERROR(INDEX(lst_tipo_sigla,MATCH(D187,lst_tipo_id,0)),"???")&amp;"-"&amp;RIGHT("00"&amp;I187,3),"OK","Verificar: TAG difere de setor-sigla-número"))</f>
        <v/>
      </c>
      <c r="K187" s="39" t="n"/>
      <c r="L187" s="39" t="n"/>
      <c r="M187" s="39" t="n"/>
      <c r="N187" s="39" t="n"/>
      <c r="O187" s="39" t="n"/>
      <c r="P187" s="38">
        <f>IF(COUNTA(A187:D187)+COUNTA(F187:I187)+COUNTA(K187:O187)=0,"",IF(ISNUMBER(K187),AND(K187=INT(K187),K187&gt;=1,K187&lt;=3),FALSE)+IF(ISNUMBER(L187),AND(L187=INT(L187),L187&gt;=1,L187&lt;=3),FALSE)+IF(ISNUMBER(M187),AND(M187=INT(M187),M187&gt;=1,M187&lt;=3),FALSE)+IF(ISNUMBER(N187),AND(N187=INT(N187),N187&gt;=1,N187&lt;=3),FALSE)+IF(ISNUMBER(O187),AND(O187=INT(O187),O187&gt;=1,O187&lt;=3),FALSE))</f>
        <v/>
      </c>
      <c r="Q187" s="38">
        <f>IF(P187=5,SUM(K187:O187),"")</f>
        <v/>
      </c>
      <c r="R187" s="38">
        <f>IF(P187="","",IF(P187&lt;5,"Pendente",IF(NOT(cad_limites_ok),"Pendente",IF(K187=3,"A",IF(Q187&gt;=cad_limite_a,"A",IF(Q187&gt;=cad_limite_b,"B","C"))))))</f>
        <v/>
      </c>
      <c r="S187" s="40">
        <f>IF(P187="","",IF(A187="","Pendente: falta o ID do ativo",IF(COUNTIF(at_id,A187)&gt;1,"ERRO: ID do ativo duplicado",IF(COUNTA(K187:O187)&gt;P187,"Pendente: nota inválida (use inteiro de 1 a 3)",IF(P187&lt;5,"Pendente: falta(m) "&amp;(5-P187)&amp;" nota(s)",IF(NOT(cad_limites_ok),"Pendente: corrija os limites A/B em Critérios",IF(K187=3,"A por Segurança = 3","Classe pela soma e limites")))))))</f>
        <v/>
      </c>
    </row>
    <row r="188">
      <c r="A188" s="36" t="n"/>
      <c r="B188" s="36" t="n"/>
      <c r="C188" s="37" t="n"/>
      <c r="D188" s="36" t="n"/>
      <c r="E188" s="38">
        <f>IF(D188="","",IFERROR(INDEX(lst_tipo_nome,MATCH(D188,lst_tipo_id,0)),"Tipo não cadastrado em Listas"))</f>
        <v/>
      </c>
      <c r="F188" s="36" t="n"/>
      <c r="G188" s="36" t="n"/>
      <c r="H188" s="36" t="n"/>
      <c r="I188" s="39" t="n"/>
      <c r="J188" s="38">
        <f>IF(OR(B188="",D188="",H188="",I188=""),"",IF(B188=H188&amp;"-"&amp;IFERROR(INDEX(lst_tipo_sigla,MATCH(D188,lst_tipo_id,0)),"???")&amp;"-"&amp;RIGHT("00"&amp;I188,3),"OK","Verificar: TAG difere de setor-sigla-número"))</f>
        <v/>
      </c>
      <c r="K188" s="39" t="n"/>
      <c r="L188" s="39" t="n"/>
      <c r="M188" s="39" t="n"/>
      <c r="N188" s="39" t="n"/>
      <c r="O188" s="39" t="n"/>
      <c r="P188" s="38">
        <f>IF(COUNTA(A188:D188)+COUNTA(F188:I188)+COUNTA(K188:O188)=0,"",IF(ISNUMBER(K188),AND(K188=INT(K188),K188&gt;=1,K188&lt;=3),FALSE)+IF(ISNUMBER(L188),AND(L188=INT(L188),L188&gt;=1,L188&lt;=3),FALSE)+IF(ISNUMBER(M188),AND(M188=INT(M188),M188&gt;=1,M188&lt;=3),FALSE)+IF(ISNUMBER(N188),AND(N188=INT(N188),N188&gt;=1,N188&lt;=3),FALSE)+IF(ISNUMBER(O188),AND(O188=INT(O188),O188&gt;=1,O188&lt;=3),FALSE))</f>
        <v/>
      </c>
      <c r="Q188" s="38">
        <f>IF(P188=5,SUM(K188:O188),"")</f>
        <v/>
      </c>
      <c r="R188" s="38">
        <f>IF(P188="","",IF(P188&lt;5,"Pendente",IF(NOT(cad_limites_ok),"Pendente",IF(K188=3,"A",IF(Q188&gt;=cad_limite_a,"A",IF(Q188&gt;=cad_limite_b,"B","C"))))))</f>
        <v/>
      </c>
      <c r="S188" s="40">
        <f>IF(P188="","",IF(A188="","Pendente: falta o ID do ativo",IF(COUNTIF(at_id,A188)&gt;1,"ERRO: ID do ativo duplicado",IF(COUNTA(K188:O188)&gt;P188,"Pendente: nota inválida (use inteiro de 1 a 3)",IF(P188&lt;5,"Pendente: falta(m) "&amp;(5-P188)&amp;" nota(s)",IF(NOT(cad_limites_ok),"Pendente: corrija os limites A/B em Critérios",IF(K188=3,"A por Segurança = 3","Classe pela soma e limites")))))))</f>
        <v/>
      </c>
    </row>
    <row r="189">
      <c r="A189" s="36" t="n"/>
      <c r="B189" s="36" t="n"/>
      <c r="C189" s="37" t="n"/>
      <c r="D189" s="36" t="n"/>
      <c r="E189" s="38">
        <f>IF(D189="","",IFERROR(INDEX(lst_tipo_nome,MATCH(D189,lst_tipo_id,0)),"Tipo não cadastrado em Listas"))</f>
        <v/>
      </c>
      <c r="F189" s="36" t="n"/>
      <c r="G189" s="36" t="n"/>
      <c r="H189" s="36" t="n"/>
      <c r="I189" s="39" t="n"/>
      <c r="J189" s="38">
        <f>IF(OR(B189="",D189="",H189="",I189=""),"",IF(B189=H189&amp;"-"&amp;IFERROR(INDEX(lst_tipo_sigla,MATCH(D189,lst_tipo_id,0)),"???")&amp;"-"&amp;RIGHT("00"&amp;I189,3),"OK","Verificar: TAG difere de setor-sigla-número"))</f>
        <v/>
      </c>
      <c r="K189" s="39" t="n"/>
      <c r="L189" s="39" t="n"/>
      <c r="M189" s="39" t="n"/>
      <c r="N189" s="39" t="n"/>
      <c r="O189" s="39" t="n"/>
      <c r="P189" s="38">
        <f>IF(COUNTA(A189:D189)+COUNTA(F189:I189)+COUNTA(K189:O189)=0,"",IF(ISNUMBER(K189),AND(K189=INT(K189),K189&gt;=1,K189&lt;=3),FALSE)+IF(ISNUMBER(L189),AND(L189=INT(L189),L189&gt;=1,L189&lt;=3),FALSE)+IF(ISNUMBER(M189),AND(M189=INT(M189),M189&gt;=1,M189&lt;=3),FALSE)+IF(ISNUMBER(N189),AND(N189=INT(N189),N189&gt;=1,N189&lt;=3),FALSE)+IF(ISNUMBER(O189),AND(O189=INT(O189),O189&gt;=1,O189&lt;=3),FALSE))</f>
        <v/>
      </c>
      <c r="Q189" s="38">
        <f>IF(P189=5,SUM(K189:O189),"")</f>
        <v/>
      </c>
      <c r="R189" s="38">
        <f>IF(P189="","",IF(P189&lt;5,"Pendente",IF(NOT(cad_limites_ok),"Pendente",IF(K189=3,"A",IF(Q189&gt;=cad_limite_a,"A",IF(Q189&gt;=cad_limite_b,"B","C"))))))</f>
        <v/>
      </c>
      <c r="S189" s="40">
        <f>IF(P189="","",IF(A189="","Pendente: falta o ID do ativo",IF(COUNTIF(at_id,A189)&gt;1,"ERRO: ID do ativo duplicado",IF(COUNTA(K189:O189)&gt;P189,"Pendente: nota inválida (use inteiro de 1 a 3)",IF(P189&lt;5,"Pendente: falta(m) "&amp;(5-P189)&amp;" nota(s)",IF(NOT(cad_limites_ok),"Pendente: corrija os limites A/B em Critérios",IF(K189=3,"A por Segurança = 3","Classe pela soma e limites")))))))</f>
        <v/>
      </c>
    </row>
    <row r="190">
      <c r="A190" s="36" t="n"/>
      <c r="B190" s="36" t="n"/>
      <c r="C190" s="37" t="n"/>
      <c r="D190" s="36" t="n"/>
      <c r="E190" s="38">
        <f>IF(D190="","",IFERROR(INDEX(lst_tipo_nome,MATCH(D190,lst_tipo_id,0)),"Tipo não cadastrado em Listas"))</f>
        <v/>
      </c>
      <c r="F190" s="36" t="n"/>
      <c r="G190" s="36" t="n"/>
      <c r="H190" s="36" t="n"/>
      <c r="I190" s="39" t="n"/>
      <c r="J190" s="38">
        <f>IF(OR(B190="",D190="",H190="",I190=""),"",IF(B190=H190&amp;"-"&amp;IFERROR(INDEX(lst_tipo_sigla,MATCH(D190,lst_tipo_id,0)),"???")&amp;"-"&amp;RIGHT("00"&amp;I190,3),"OK","Verificar: TAG difere de setor-sigla-número"))</f>
        <v/>
      </c>
      <c r="K190" s="39" t="n"/>
      <c r="L190" s="39" t="n"/>
      <c r="M190" s="39" t="n"/>
      <c r="N190" s="39" t="n"/>
      <c r="O190" s="39" t="n"/>
      <c r="P190" s="38">
        <f>IF(COUNTA(A190:D190)+COUNTA(F190:I190)+COUNTA(K190:O190)=0,"",IF(ISNUMBER(K190),AND(K190=INT(K190),K190&gt;=1,K190&lt;=3),FALSE)+IF(ISNUMBER(L190),AND(L190=INT(L190),L190&gt;=1,L190&lt;=3),FALSE)+IF(ISNUMBER(M190),AND(M190=INT(M190),M190&gt;=1,M190&lt;=3),FALSE)+IF(ISNUMBER(N190),AND(N190=INT(N190),N190&gt;=1,N190&lt;=3),FALSE)+IF(ISNUMBER(O190),AND(O190=INT(O190),O190&gt;=1,O190&lt;=3),FALSE))</f>
        <v/>
      </c>
      <c r="Q190" s="38">
        <f>IF(P190=5,SUM(K190:O190),"")</f>
        <v/>
      </c>
      <c r="R190" s="38">
        <f>IF(P190="","",IF(P190&lt;5,"Pendente",IF(NOT(cad_limites_ok),"Pendente",IF(K190=3,"A",IF(Q190&gt;=cad_limite_a,"A",IF(Q190&gt;=cad_limite_b,"B","C"))))))</f>
        <v/>
      </c>
      <c r="S190" s="40">
        <f>IF(P190="","",IF(A190="","Pendente: falta o ID do ativo",IF(COUNTIF(at_id,A190)&gt;1,"ERRO: ID do ativo duplicado",IF(COUNTA(K190:O190)&gt;P190,"Pendente: nota inválida (use inteiro de 1 a 3)",IF(P190&lt;5,"Pendente: falta(m) "&amp;(5-P190)&amp;" nota(s)",IF(NOT(cad_limites_ok),"Pendente: corrija os limites A/B em Critérios",IF(K190=3,"A por Segurança = 3","Classe pela soma e limites")))))))</f>
        <v/>
      </c>
    </row>
    <row r="191">
      <c r="A191" s="36" t="n"/>
      <c r="B191" s="36" t="n"/>
      <c r="C191" s="37" t="n"/>
      <c r="D191" s="36" t="n"/>
      <c r="E191" s="38">
        <f>IF(D191="","",IFERROR(INDEX(lst_tipo_nome,MATCH(D191,lst_tipo_id,0)),"Tipo não cadastrado em Listas"))</f>
        <v/>
      </c>
      <c r="F191" s="36" t="n"/>
      <c r="G191" s="36" t="n"/>
      <c r="H191" s="36" t="n"/>
      <c r="I191" s="39" t="n"/>
      <c r="J191" s="38">
        <f>IF(OR(B191="",D191="",H191="",I191=""),"",IF(B191=H191&amp;"-"&amp;IFERROR(INDEX(lst_tipo_sigla,MATCH(D191,lst_tipo_id,0)),"???")&amp;"-"&amp;RIGHT("00"&amp;I191,3),"OK","Verificar: TAG difere de setor-sigla-número"))</f>
        <v/>
      </c>
      <c r="K191" s="39" t="n"/>
      <c r="L191" s="39" t="n"/>
      <c r="M191" s="39" t="n"/>
      <c r="N191" s="39" t="n"/>
      <c r="O191" s="39" t="n"/>
      <c r="P191" s="38">
        <f>IF(COUNTA(A191:D191)+COUNTA(F191:I191)+COUNTA(K191:O191)=0,"",IF(ISNUMBER(K191),AND(K191=INT(K191),K191&gt;=1,K191&lt;=3),FALSE)+IF(ISNUMBER(L191),AND(L191=INT(L191),L191&gt;=1,L191&lt;=3),FALSE)+IF(ISNUMBER(M191),AND(M191=INT(M191),M191&gt;=1,M191&lt;=3),FALSE)+IF(ISNUMBER(N191),AND(N191=INT(N191),N191&gt;=1,N191&lt;=3),FALSE)+IF(ISNUMBER(O191),AND(O191=INT(O191),O191&gt;=1,O191&lt;=3),FALSE))</f>
        <v/>
      </c>
      <c r="Q191" s="38">
        <f>IF(P191=5,SUM(K191:O191),"")</f>
        <v/>
      </c>
      <c r="R191" s="38">
        <f>IF(P191="","",IF(P191&lt;5,"Pendente",IF(NOT(cad_limites_ok),"Pendente",IF(K191=3,"A",IF(Q191&gt;=cad_limite_a,"A",IF(Q191&gt;=cad_limite_b,"B","C"))))))</f>
        <v/>
      </c>
      <c r="S191" s="40">
        <f>IF(P191="","",IF(A191="","Pendente: falta o ID do ativo",IF(COUNTIF(at_id,A191)&gt;1,"ERRO: ID do ativo duplicado",IF(COUNTA(K191:O191)&gt;P191,"Pendente: nota inválida (use inteiro de 1 a 3)",IF(P191&lt;5,"Pendente: falta(m) "&amp;(5-P191)&amp;" nota(s)",IF(NOT(cad_limites_ok),"Pendente: corrija os limites A/B em Critérios",IF(K191=3,"A por Segurança = 3","Classe pela soma e limites")))))))</f>
        <v/>
      </c>
    </row>
    <row r="192">
      <c r="A192" s="36" t="n"/>
      <c r="B192" s="36" t="n"/>
      <c r="C192" s="37" t="n"/>
      <c r="D192" s="36" t="n"/>
      <c r="E192" s="38">
        <f>IF(D192="","",IFERROR(INDEX(lst_tipo_nome,MATCH(D192,lst_tipo_id,0)),"Tipo não cadastrado em Listas"))</f>
        <v/>
      </c>
      <c r="F192" s="36" t="n"/>
      <c r="G192" s="36" t="n"/>
      <c r="H192" s="36" t="n"/>
      <c r="I192" s="39" t="n"/>
      <c r="J192" s="38">
        <f>IF(OR(B192="",D192="",H192="",I192=""),"",IF(B192=H192&amp;"-"&amp;IFERROR(INDEX(lst_tipo_sigla,MATCH(D192,lst_tipo_id,0)),"???")&amp;"-"&amp;RIGHT("00"&amp;I192,3),"OK","Verificar: TAG difere de setor-sigla-número"))</f>
        <v/>
      </c>
      <c r="K192" s="39" t="n"/>
      <c r="L192" s="39" t="n"/>
      <c r="M192" s="39" t="n"/>
      <c r="N192" s="39" t="n"/>
      <c r="O192" s="39" t="n"/>
      <c r="P192" s="38">
        <f>IF(COUNTA(A192:D192)+COUNTA(F192:I192)+COUNTA(K192:O192)=0,"",IF(ISNUMBER(K192),AND(K192=INT(K192),K192&gt;=1,K192&lt;=3),FALSE)+IF(ISNUMBER(L192),AND(L192=INT(L192),L192&gt;=1,L192&lt;=3),FALSE)+IF(ISNUMBER(M192),AND(M192=INT(M192),M192&gt;=1,M192&lt;=3),FALSE)+IF(ISNUMBER(N192),AND(N192=INT(N192),N192&gt;=1,N192&lt;=3),FALSE)+IF(ISNUMBER(O192),AND(O192=INT(O192),O192&gt;=1,O192&lt;=3),FALSE))</f>
        <v/>
      </c>
      <c r="Q192" s="38">
        <f>IF(P192=5,SUM(K192:O192),"")</f>
        <v/>
      </c>
      <c r="R192" s="38">
        <f>IF(P192="","",IF(P192&lt;5,"Pendente",IF(NOT(cad_limites_ok),"Pendente",IF(K192=3,"A",IF(Q192&gt;=cad_limite_a,"A",IF(Q192&gt;=cad_limite_b,"B","C"))))))</f>
        <v/>
      </c>
      <c r="S192" s="40">
        <f>IF(P192="","",IF(A192="","Pendente: falta o ID do ativo",IF(COUNTIF(at_id,A192)&gt;1,"ERRO: ID do ativo duplicado",IF(COUNTA(K192:O192)&gt;P192,"Pendente: nota inválida (use inteiro de 1 a 3)",IF(P192&lt;5,"Pendente: falta(m) "&amp;(5-P192)&amp;" nota(s)",IF(NOT(cad_limites_ok),"Pendente: corrija os limites A/B em Critérios",IF(K192=3,"A por Segurança = 3","Classe pela soma e limites")))))))</f>
        <v/>
      </c>
    </row>
    <row r="193">
      <c r="A193" s="36" t="n"/>
      <c r="B193" s="36" t="n"/>
      <c r="C193" s="37" t="n"/>
      <c r="D193" s="36" t="n"/>
      <c r="E193" s="38">
        <f>IF(D193="","",IFERROR(INDEX(lst_tipo_nome,MATCH(D193,lst_tipo_id,0)),"Tipo não cadastrado em Listas"))</f>
        <v/>
      </c>
      <c r="F193" s="36" t="n"/>
      <c r="G193" s="36" t="n"/>
      <c r="H193" s="36" t="n"/>
      <c r="I193" s="39" t="n"/>
      <c r="J193" s="38">
        <f>IF(OR(B193="",D193="",H193="",I193=""),"",IF(B193=H193&amp;"-"&amp;IFERROR(INDEX(lst_tipo_sigla,MATCH(D193,lst_tipo_id,0)),"???")&amp;"-"&amp;RIGHT("00"&amp;I193,3),"OK","Verificar: TAG difere de setor-sigla-número"))</f>
        <v/>
      </c>
      <c r="K193" s="39" t="n"/>
      <c r="L193" s="39" t="n"/>
      <c r="M193" s="39" t="n"/>
      <c r="N193" s="39" t="n"/>
      <c r="O193" s="39" t="n"/>
      <c r="P193" s="38">
        <f>IF(COUNTA(A193:D193)+COUNTA(F193:I193)+COUNTA(K193:O193)=0,"",IF(ISNUMBER(K193),AND(K193=INT(K193),K193&gt;=1,K193&lt;=3),FALSE)+IF(ISNUMBER(L193),AND(L193=INT(L193),L193&gt;=1,L193&lt;=3),FALSE)+IF(ISNUMBER(M193),AND(M193=INT(M193),M193&gt;=1,M193&lt;=3),FALSE)+IF(ISNUMBER(N193),AND(N193=INT(N193),N193&gt;=1,N193&lt;=3),FALSE)+IF(ISNUMBER(O193),AND(O193=INT(O193),O193&gt;=1,O193&lt;=3),FALSE))</f>
        <v/>
      </c>
      <c r="Q193" s="38">
        <f>IF(P193=5,SUM(K193:O193),"")</f>
        <v/>
      </c>
      <c r="R193" s="38">
        <f>IF(P193="","",IF(P193&lt;5,"Pendente",IF(NOT(cad_limites_ok),"Pendente",IF(K193=3,"A",IF(Q193&gt;=cad_limite_a,"A",IF(Q193&gt;=cad_limite_b,"B","C"))))))</f>
        <v/>
      </c>
      <c r="S193" s="40">
        <f>IF(P193="","",IF(A193="","Pendente: falta o ID do ativo",IF(COUNTIF(at_id,A193)&gt;1,"ERRO: ID do ativo duplicado",IF(COUNTA(K193:O193)&gt;P193,"Pendente: nota inválida (use inteiro de 1 a 3)",IF(P193&lt;5,"Pendente: falta(m) "&amp;(5-P193)&amp;" nota(s)",IF(NOT(cad_limites_ok),"Pendente: corrija os limites A/B em Critérios",IF(K193=3,"A por Segurança = 3","Classe pela soma e limites")))))))</f>
        <v/>
      </c>
    </row>
    <row r="194">
      <c r="A194" s="36" t="n"/>
      <c r="B194" s="36" t="n"/>
      <c r="C194" s="37" t="n"/>
      <c r="D194" s="36" t="n"/>
      <c r="E194" s="38">
        <f>IF(D194="","",IFERROR(INDEX(lst_tipo_nome,MATCH(D194,lst_tipo_id,0)),"Tipo não cadastrado em Listas"))</f>
        <v/>
      </c>
      <c r="F194" s="36" t="n"/>
      <c r="G194" s="36" t="n"/>
      <c r="H194" s="36" t="n"/>
      <c r="I194" s="39" t="n"/>
      <c r="J194" s="38">
        <f>IF(OR(B194="",D194="",H194="",I194=""),"",IF(B194=H194&amp;"-"&amp;IFERROR(INDEX(lst_tipo_sigla,MATCH(D194,lst_tipo_id,0)),"???")&amp;"-"&amp;RIGHT("00"&amp;I194,3),"OK","Verificar: TAG difere de setor-sigla-número"))</f>
        <v/>
      </c>
      <c r="K194" s="39" t="n"/>
      <c r="L194" s="39" t="n"/>
      <c r="M194" s="39" t="n"/>
      <c r="N194" s="39" t="n"/>
      <c r="O194" s="39" t="n"/>
      <c r="P194" s="38">
        <f>IF(COUNTA(A194:D194)+COUNTA(F194:I194)+COUNTA(K194:O194)=0,"",IF(ISNUMBER(K194),AND(K194=INT(K194),K194&gt;=1,K194&lt;=3),FALSE)+IF(ISNUMBER(L194),AND(L194=INT(L194),L194&gt;=1,L194&lt;=3),FALSE)+IF(ISNUMBER(M194),AND(M194=INT(M194),M194&gt;=1,M194&lt;=3),FALSE)+IF(ISNUMBER(N194),AND(N194=INT(N194),N194&gt;=1,N194&lt;=3),FALSE)+IF(ISNUMBER(O194),AND(O194=INT(O194),O194&gt;=1,O194&lt;=3),FALSE))</f>
        <v/>
      </c>
      <c r="Q194" s="38">
        <f>IF(P194=5,SUM(K194:O194),"")</f>
        <v/>
      </c>
      <c r="R194" s="38">
        <f>IF(P194="","",IF(P194&lt;5,"Pendente",IF(NOT(cad_limites_ok),"Pendente",IF(K194=3,"A",IF(Q194&gt;=cad_limite_a,"A",IF(Q194&gt;=cad_limite_b,"B","C"))))))</f>
        <v/>
      </c>
      <c r="S194" s="40">
        <f>IF(P194="","",IF(A194="","Pendente: falta o ID do ativo",IF(COUNTIF(at_id,A194)&gt;1,"ERRO: ID do ativo duplicado",IF(COUNTA(K194:O194)&gt;P194,"Pendente: nota inválida (use inteiro de 1 a 3)",IF(P194&lt;5,"Pendente: falta(m) "&amp;(5-P194)&amp;" nota(s)",IF(NOT(cad_limites_ok),"Pendente: corrija os limites A/B em Critérios",IF(K194=3,"A por Segurança = 3","Classe pela soma e limites")))))))</f>
        <v/>
      </c>
    </row>
    <row r="195">
      <c r="A195" s="36" t="n"/>
      <c r="B195" s="36" t="n"/>
      <c r="C195" s="37" t="n"/>
      <c r="D195" s="36" t="n"/>
      <c r="E195" s="38">
        <f>IF(D195="","",IFERROR(INDEX(lst_tipo_nome,MATCH(D195,lst_tipo_id,0)),"Tipo não cadastrado em Listas"))</f>
        <v/>
      </c>
      <c r="F195" s="36" t="n"/>
      <c r="G195" s="36" t="n"/>
      <c r="H195" s="36" t="n"/>
      <c r="I195" s="39" t="n"/>
      <c r="J195" s="38">
        <f>IF(OR(B195="",D195="",H195="",I195=""),"",IF(B195=H195&amp;"-"&amp;IFERROR(INDEX(lst_tipo_sigla,MATCH(D195,lst_tipo_id,0)),"???")&amp;"-"&amp;RIGHT("00"&amp;I195,3),"OK","Verificar: TAG difere de setor-sigla-número"))</f>
        <v/>
      </c>
      <c r="K195" s="39" t="n"/>
      <c r="L195" s="39" t="n"/>
      <c r="M195" s="39" t="n"/>
      <c r="N195" s="39" t="n"/>
      <c r="O195" s="39" t="n"/>
      <c r="P195" s="38">
        <f>IF(COUNTA(A195:D195)+COUNTA(F195:I195)+COUNTA(K195:O195)=0,"",IF(ISNUMBER(K195),AND(K195=INT(K195),K195&gt;=1,K195&lt;=3),FALSE)+IF(ISNUMBER(L195),AND(L195=INT(L195),L195&gt;=1,L195&lt;=3),FALSE)+IF(ISNUMBER(M195),AND(M195=INT(M195),M195&gt;=1,M195&lt;=3),FALSE)+IF(ISNUMBER(N195),AND(N195=INT(N195),N195&gt;=1,N195&lt;=3),FALSE)+IF(ISNUMBER(O195),AND(O195=INT(O195),O195&gt;=1,O195&lt;=3),FALSE))</f>
        <v/>
      </c>
      <c r="Q195" s="38">
        <f>IF(P195=5,SUM(K195:O195),"")</f>
        <v/>
      </c>
      <c r="R195" s="38">
        <f>IF(P195="","",IF(P195&lt;5,"Pendente",IF(NOT(cad_limites_ok),"Pendente",IF(K195=3,"A",IF(Q195&gt;=cad_limite_a,"A",IF(Q195&gt;=cad_limite_b,"B","C"))))))</f>
        <v/>
      </c>
      <c r="S195" s="40">
        <f>IF(P195="","",IF(A195="","Pendente: falta o ID do ativo",IF(COUNTIF(at_id,A195)&gt;1,"ERRO: ID do ativo duplicado",IF(COUNTA(K195:O195)&gt;P195,"Pendente: nota inválida (use inteiro de 1 a 3)",IF(P195&lt;5,"Pendente: falta(m) "&amp;(5-P195)&amp;" nota(s)",IF(NOT(cad_limites_ok),"Pendente: corrija os limites A/B em Critérios",IF(K195=3,"A por Segurança = 3","Classe pela soma e limites")))))))</f>
        <v/>
      </c>
    </row>
    <row r="196">
      <c r="A196" s="36" t="n"/>
      <c r="B196" s="36" t="n"/>
      <c r="C196" s="37" t="n"/>
      <c r="D196" s="36" t="n"/>
      <c r="E196" s="38">
        <f>IF(D196="","",IFERROR(INDEX(lst_tipo_nome,MATCH(D196,lst_tipo_id,0)),"Tipo não cadastrado em Listas"))</f>
        <v/>
      </c>
      <c r="F196" s="36" t="n"/>
      <c r="G196" s="36" t="n"/>
      <c r="H196" s="36" t="n"/>
      <c r="I196" s="39" t="n"/>
      <c r="J196" s="38">
        <f>IF(OR(B196="",D196="",H196="",I196=""),"",IF(B196=H196&amp;"-"&amp;IFERROR(INDEX(lst_tipo_sigla,MATCH(D196,lst_tipo_id,0)),"???")&amp;"-"&amp;RIGHT("00"&amp;I196,3),"OK","Verificar: TAG difere de setor-sigla-número"))</f>
        <v/>
      </c>
      <c r="K196" s="39" t="n"/>
      <c r="L196" s="39" t="n"/>
      <c r="M196" s="39" t="n"/>
      <c r="N196" s="39" t="n"/>
      <c r="O196" s="39" t="n"/>
      <c r="P196" s="38">
        <f>IF(COUNTA(A196:D196)+COUNTA(F196:I196)+COUNTA(K196:O196)=0,"",IF(ISNUMBER(K196),AND(K196=INT(K196),K196&gt;=1,K196&lt;=3),FALSE)+IF(ISNUMBER(L196),AND(L196=INT(L196),L196&gt;=1,L196&lt;=3),FALSE)+IF(ISNUMBER(M196),AND(M196=INT(M196),M196&gt;=1,M196&lt;=3),FALSE)+IF(ISNUMBER(N196),AND(N196=INT(N196),N196&gt;=1,N196&lt;=3),FALSE)+IF(ISNUMBER(O196),AND(O196=INT(O196),O196&gt;=1,O196&lt;=3),FALSE))</f>
        <v/>
      </c>
      <c r="Q196" s="38">
        <f>IF(P196=5,SUM(K196:O196),"")</f>
        <v/>
      </c>
      <c r="R196" s="38">
        <f>IF(P196="","",IF(P196&lt;5,"Pendente",IF(NOT(cad_limites_ok),"Pendente",IF(K196=3,"A",IF(Q196&gt;=cad_limite_a,"A",IF(Q196&gt;=cad_limite_b,"B","C"))))))</f>
        <v/>
      </c>
      <c r="S196" s="40">
        <f>IF(P196="","",IF(A196="","Pendente: falta o ID do ativo",IF(COUNTIF(at_id,A196)&gt;1,"ERRO: ID do ativo duplicado",IF(COUNTA(K196:O196)&gt;P196,"Pendente: nota inválida (use inteiro de 1 a 3)",IF(P196&lt;5,"Pendente: falta(m) "&amp;(5-P196)&amp;" nota(s)",IF(NOT(cad_limites_ok),"Pendente: corrija os limites A/B em Critérios",IF(K196=3,"A por Segurança = 3","Classe pela soma e limites")))))))</f>
        <v/>
      </c>
    </row>
    <row r="197">
      <c r="A197" s="36" t="n"/>
      <c r="B197" s="36" t="n"/>
      <c r="C197" s="37" t="n"/>
      <c r="D197" s="36" t="n"/>
      <c r="E197" s="38">
        <f>IF(D197="","",IFERROR(INDEX(lst_tipo_nome,MATCH(D197,lst_tipo_id,0)),"Tipo não cadastrado em Listas"))</f>
        <v/>
      </c>
      <c r="F197" s="36" t="n"/>
      <c r="G197" s="36" t="n"/>
      <c r="H197" s="36" t="n"/>
      <c r="I197" s="39" t="n"/>
      <c r="J197" s="38">
        <f>IF(OR(B197="",D197="",H197="",I197=""),"",IF(B197=H197&amp;"-"&amp;IFERROR(INDEX(lst_tipo_sigla,MATCH(D197,lst_tipo_id,0)),"???")&amp;"-"&amp;RIGHT("00"&amp;I197,3),"OK","Verificar: TAG difere de setor-sigla-número"))</f>
        <v/>
      </c>
      <c r="K197" s="39" t="n"/>
      <c r="L197" s="39" t="n"/>
      <c r="M197" s="39" t="n"/>
      <c r="N197" s="39" t="n"/>
      <c r="O197" s="39" t="n"/>
      <c r="P197" s="38">
        <f>IF(COUNTA(A197:D197)+COUNTA(F197:I197)+COUNTA(K197:O197)=0,"",IF(ISNUMBER(K197),AND(K197=INT(K197),K197&gt;=1,K197&lt;=3),FALSE)+IF(ISNUMBER(L197),AND(L197=INT(L197),L197&gt;=1,L197&lt;=3),FALSE)+IF(ISNUMBER(M197),AND(M197=INT(M197),M197&gt;=1,M197&lt;=3),FALSE)+IF(ISNUMBER(N197),AND(N197=INT(N197),N197&gt;=1,N197&lt;=3),FALSE)+IF(ISNUMBER(O197),AND(O197=INT(O197),O197&gt;=1,O197&lt;=3),FALSE))</f>
        <v/>
      </c>
      <c r="Q197" s="38">
        <f>IF(P197=5,SUM(K197:O197),"")</f>
        <v/>
      </c>
      <c r="R197" s="38">
        <f>IF(P197="","",IF(P197&lt;5,"Pendente",IF(NOT(cad_limites_ok),"Pendente",IF(K197=3,"A",IF(Q197&gt;=cad_limite_a,"A",IF(Q197&gt;=cad_limite_b,"B","C"))))))</f>
        <v/>
      </c>
      <c r="S197" s="40">
        <f>IF(P197="","",IF(A197="","Pendente: falta o ID do ativo",IF(COUNTIF(at_id,A197)&gt;1,"ERRO: ID do ativo duplicado",IF(COUNTA(K197:O197)&gt;P197,"Pendente: nota inválida (use inteiro de 1 a 3)",IF(P197&lt;5,"Pendente: falta(m) "&amp;(5-P197)&amp;" nota(s)",IF(NOT(cad_limites_ok),"Pendente: corrija os limites A/B em Critérios",IF(K197=3,"A por Segurança = 3","Classe pela soma e limites")))))))</f>
        <v/>
      </c>
    </row>
    <row r="198">
      <c r="A198" s="36" t="n"/>
      <c r="B198" s="36" t="n"/>
      <c r="C198" s="37" t="n"/>
      <c r="D198" s="36" t="n"/>
      <c r="E198" s="38">
        <f>IF(D198="","",IFERROR(INDEX(lst_tipo_nome,MATCH(D198,lst_tipo_id,0)),"Tipo não cadastrado em Listas"))</f>
        <v/>
      </c>
      <c r="F198" s="36" t="n"/>
      <c r="G198" s="36" t="n"/>
      <c r="H198" s="36" t="n"/>
      <c r="I198" s="39" t="n"/>
      <c r="J198" s="38">
        <f>IF(OR(B198="",D198="",H198="",I198=""),"",IF(B198=H198&amp;"-"&amp;IFERROR(INDEX(lst_tipo_sigla,MATCH(D198,lst_tipo_id,0)),"???")&amp;"-"&amp;RIGHT("00"&amp;I198,3),"OK","Verificar: TAG difere de setor-sigla-número"))</f>
        <v/>
      </c>
      <c r="K198" s="39" t="n"/>
      <c r="L198" s="39" t="n"/>
      <c r="M198" s="39" t="n"/>
      <c r="N198" s="39" t="n"/>
      <c r="O198" s="39" t="n"/>
      <c r="P198" s="38">
        <f>IF(COUNTA(A198:D198)+COUNTA(F198:I198)+COUNTA(K198:O198)=0,"",IF(ISNUMBER(K198),AND(K198=INT(K198),K198&gt;=1,K198&lt;=3),FALSE)+IF(ISNUMBER(L198),AND(L198=INT(L198),L198&gt;=1,L198&lt;=3),FALSE)+IF(ISNUMBER(M198),AND(M198=INT(M198),M198&gt;=1,M198&lt;=3),FALSE)+IF(ISNUMBER(N198),AND(N198=INT(N198),N198&gt;=1,N198&lt;=3),FALSE)+IF(ISNUMBER(O198),AND(O198=INT(O198),O198&gt;=1,O198&lt;=3),FALSE))</f>
        <v/>
      </c>
      <c r="Q198" s="38">
        <f>IF(P198=5,SUM(K198:O198),"")</f>
        <v/>
      </c>
      <c r="R198" s="38">
        <f>IF(P198="","",IF(P198&lt;5,"Pendente",IF(NOT(cad_limites_ok),"Pendente",IF(K198=3,"A",IF(Q198&gt;=cad_limite_a,"A",IF(Q198&gt;=cad_limite_b,"B","C"))))))</f>
        <v/>
      </c>
      <c r="S198" s="40">
        <f>IF(P198="","",IF(A198="","Pendente: falta o ID do ativo",IF(COUNTIF(at_id,A198)&gt;1,"ERRO: ID do ativo duplicado",IF(COUNTA(K198:O198)&gt;P198,"Pendente: nota inválida (use inteiro de 1 a 3)",IF(P198&lt;5,"Pendente: falta(m) "&amp;(5-P198)&amp;" nota(s)",IF(NOT(cad_limites_ok),"Pendente: corrija os limites A/B em Critérios",IF(K198=3,"A por Segurança = 3","Classe pela soma e limites")))))))</f>
        <v/>
      </c>
    </row>
    <row r="199">
      <c r="A199" s="36" t="n"/>
      <c r="B199" s="36" t="n"/>
      <c r="C199" s="37" t="n"/>
      <c r="D199" s="36" t="n"/>
      <c r="E199" s="38">
        <f>IF(D199="","",IFERROR(INDEX(lst_tipo_nome,MATCH(D199,lst_tipo_id,0)),"Tipo não cadastrado em Listas"))</f>
        <v/>
      </c>
      <c r="F199" s="36" t="n"/>
      <c r="G199" s="36" t="n"/>
      <c r="H199" s="36" t="n"/>
      <c r="I199" s="39" t="n"/>
      <c r="J199" s="38">
        <f>IF(OR(B199="",D199="",H199="",I199=""),"",IF(B199=H199&amp;"-"&amp;IFERROR(INDEX(lst_tipo_sigla,MATCH(D199,lst_tipo_id,0)),"???")&amp;"-"&amp;RIGHT("00"&amp;I199,3),"OK","Verificar: TAG difere de setor-sigla-número"))</f>
        <v/>
      </c>
      <c r="K199" s="39" t="n"/>
      <c r="L199" s="39" t="n"/>
      <c r="M199" s="39" t="n"/>
      <c r="N199" s="39" t="n"/>
      <c r="O199" s="39" t="n"/>
      <c r="P199" s="38">
        <f>IF(COUNTA(A199:D199)+COUNTA(F199:I199)+COUNTA(K199:O199)=0,"",IF(ISNUMBER(K199),AND(K199=INT(K199),K199&gt;=1,K199&lt;=3),FALSE)+IF(ISNUMBER(L199),AND(L199=INT(L199),L199&gt;=1,L199&lt;=3),FALSE)+IF(ISNUMBER(M199),AND(M199=INT(M199),M199&gt;=1,M199&lt;=3),FALSE)+IF(ISNUMBER(N199),AND(N199=INT(N199),N199&gt;=1,N199&lt;=3),FALSE)+IF(ISNUMBER(O199),AND(O199=INT(O199),O199&gt;=1,O199&lt;=3),FALSE))</f>
        <v/>
      </c>
      <c r="Q199" s="38">
        <f>IF(P199=5,SUM(K199:O199),"")</f>
        <v/>
      </c>
      <c r="R199" s="38">
        <f>IF(P199="","",IF(P199&lt;5,"Pendente",IF(NOT(cad_limites_ok),"Pendente",IF(K199=3,"A",IF(Q199&gt;=cad_limite_a,"A",IF(Q199&gt;=cad_limite_b,"B","C"))))))</f>
        <v/>
      </c>
      <c r="S199" s="40">
        <f>IF(P199="","",IF(A199="","Pendente: falta o ID do ativo",IF(COUNTIF(at_id,A199)&gt;1,"ERRO: ID do ativo duplicado",IF(COUNTA(K199:O199)&gt;P199,"Pendente: nota inválida (use inteiro de 1 a 3)",IF(P199&lt;5,"Pendente: falta(m) "&amp;(5-P199)&amp;" nota(s)",IF(NOT(cad_limites_ok),"Pendente: corrija os limites A/B em Critérios",IF(K199=3,"A por Segurança = 3","Classe pela soma e limites")))))))</f>
        <v/>
      </c>
    </row>
    <row r="200">
      <c r="A200" s="36" t="n"/>
      <c r="B200" s="36" t="n"/>
      <c r="C200" s="37" t="n"/>
      <c r="D200" s="36" t="n"/>
      <c r="E200" s="38">
        <f>IF(D200="","",IFERROR(INDEX(lst_tipo_nome,MATCH(D200,lst_tipo_id,0)),"Tipo não cadastrado em Listas"))</f>
        <v/>
      </c>
      <c r="F200" s="36" t="n"/>
      <c r="G200" s="36" t="n"/>
      <c r="H200" s="36" t="n"/>
      <c r="I200" s="39" t="n"/>
      <c r="J200" s="38">
        <f>IF(OR(B200="",D200="",H200="",I200=""),"",IF(B200=H200&amp;"-"&amp;IFERROR(INDEX(lst_tipo_sigla,MATCH(D200,lst_tipo_id,0)),"???")&amp;"-"&amp;RIGHT("00"&amp;I200,3),"OK","Verificar: TAG difere de setor-sigla-número"))</f>
        <v/>
      </c>
      <c r="K200" s="39" t="n"/>
      <c r="L200" s="39" t="n"/>
      <c r="M200" s="39" t="n"/>
      <c r="N200" s="39" t="n"/>
      <c r="O200" s="39" t="n"/>
      <c r="P200" s="38">
        <f>IF(COUNTA(A200:D200)+COUNTA(F200:I200)+COUNTA(K200:O200)=0,"",IF(ISNUMBER(K200),AND(K200=INT(K200),K200&gt;=1,K200&lt;=3),FALSE)+IF(ISNUMBER(L200),AND(L200=INT(L200),L200&gt;=1,L200&lt;=3),FALSE)+IF(ISNUMBER(M200),AND(M200=INT(M200),M200&gt;=1,M200&lt;=3),FALSE)+IF(ISNUMBER(N200),AND(N200=INT(N200),N200&gt;=1,N200&lt;=3),FALSE)+IF(ISNUMBER(O200),AND(O200=INT(O200),O200&gt;=1,O200&lt;=3),FALSE))</f>
        <v/>
      </c>
      <c r="Q200" s="38">
        <f>IF(P200=5,SUM(K200:O200),"")</f>
        <v/>
      </c>
      <c r="R200" s="38">
        <f>IF(P200="","",IF(P200&lt;5,"Pendente",IF(NOT(cad_limites_ok),"Pendente",IF(K200=3,"A",IF(Q200&gt;=cad_limite_a,"A",IF(Q200&gt;=cad_limite_b,"B","C"))))))</f>
        <v/>
      </c>
      <c r="S200" s="40">
        <f>IF(P200="","",IF(A200="","Pendente: falta o ID do ativo",IF(COUNTIF(at_id,A200)&gt;1,"ERRO: ID do ativo duplicado",IF(COUNTA(K200:O200)&gt;P200,"Pendente: nota inválida (use inteiro de 1 a 3)",IF(P200&lt;5,"Pendente: falta(m) "&amp;(5-P200)&amp;" nota(s)",IF(NOT(cad_limites_ok),"Pendente: corrija os limites A/B em Critérios",IF(K200=3,"A por Segurança = 3","Classe pela soma e limites")))))))</f>
        <v/>
      </c>
    </row>
    <row r="201">
      <c r="A201" s="36" t="n"/>
      <c r="B201" s="36" t="n"/>
      <c r="C201" s="37" t="n"/>
      <c r="D201" s="36" t="n"/>
      <c r="E201" s="38">
        <f>IF(D201="","",IFERROR(INDEX(lst_tipo_nome,MATCH(D201,lst_tipo_id,0)),"Tipo não cadastrado em Listas"))</f>
        <v/>
      </c>
      <c r="F201" s="36" t="n"/>
      <c r="G201" s="36" t="n"/>
      <c r="H201" s="36" t="n"/>
      <c r="I201" s="39" t="n"/>
      <c r="J201" s="38">
        <f>IF(OR(B201="",D201="",H201="",I201=""),"",IF(B201=H201&amp;"-"&amp;IFERROR(INDEX(lst_tipo_sigla,MATCH(D201,lst_tipo_id,0)),"???")&amp;"-"&amp;RIGHT("00"&amp;I201,3),"OK","Verificar: TAG difere de setor-sigla-número"))</f>
        <v/>
      </c>
      <c r="K201" s="39" t="n"/>
      <c r="L201" s="39" t="n"/>
      <c r="M201" s="39" t="n"/>
      <c r="N201" s="39" t="n"/>
      <c r="O201" s="39" t="n"/>
      <c r="P201" s="38">
        <f>IF(COUNTA(A201:D201)+COUNTA(F201:I201)+COUNTA(K201:O201)=0,"",IF(ISNUMBER(K201),AND(K201=INT(K201),K201&gt;=1,K201&lt;=3),FALSE)+IF(ISNUMBER(L201),AND(L201=INT(L201),L201&gt;=1,L201&lt;=3),FALSE)+IF(ISNUMBER(M201),AND(M201=INT(M201),M201&gt;=1,M201&lt;=3),FALSE)+IF(ISNUMBER(N201),AND(N201=INT(N201),N201&gt;=1,N201&lt;=3),FALSE)+IF(ISNUMBER(O201),AND(O201=INT(O201),O201&gt;=1,O201&lt;=3),FALSE))</f>
        <v/>
      </c>
      <c r="Q201" s="38">
        <f>IF(P201=5,SUM(K201:O201),"")</f>
        <v/>
      </c>
      <c r="R201" s="38">
        <f>IF(P201="","",IF(P201&lt;5,"Pendente",IF(NOT(cad_limites_ok),"Pendente",IF(K201=3,"A",IF(Q201&gt;=cad_limite_a,"A",IF(Q201&gt;=cad_limite_b,"B","C"))))))</f>
        <v/>
      </c>
      <c r="S201" s="40">
        <f>IF(P201="","",IF(A201="","Pendente: falta o ID do ativo",IF(COUNTIF(at_id,A201)&gt;1,"ERRO: ID do ativo duplicado",IF(COUNTA(K201:O201)&gt;P201,"Pendente: nota inválida (use inteiro de 1 a 3)",IF(P201&lt;5,"Pendente: falta(m) "&amp;(5-P201)&amp;" nota(s)",IF(NOT(cad_limites_ok),"Pendente: corrija os limites A/B em Critérios",IF(K201=3,"A por Segurança = 3","Classe pela soma e limites")))))))</f>
        <v/>
      </c>
    </row>
    <row r="202">
      <c r="A202" s="36" t="n"/>
      <c r="B202" s="36" t="n"/>
      <c r="C202" s="37" t="n"/>
      <c r="D202" s="36" t="n"/>
      <c r="E202" s="38">
        <f>IF(D202="","",IFERROR(INDEX(lst_tipo_nome,MATCH(D202,lst_tipo_id,0)),"Tipo não cadastrado em Listas"))</f>
        <v/>
      </c>
      <c r="F202" s="36" t="n"/>
      <c r="G202" s="36" t="n"/>
      <c r="H202" s="36" t="n"/>
      <c r="I202" s="39" t="n"/>
      <c r="J202" s="38">
        <f>IF(OR(B202="",D202="",H202="",I202=""),"",IF(B202=H202&amp;"-"&amp;IFERROR(INDEX(lst_tipo_sigla,MATCH(D202,lst_tipo_id,0)),"???")&amp;"-"&amp;RIGHT("00"&amp;I202,3),"OK","Verificar: TAG difere de setor-sigla-número"))</f>
        <v/>
      </c>
      <c r="K202" s="39" t="n"/>
      <c r="L202" s="39" t="n"/>
      <c r="M202" s="39" t="n"/>
      <c r="N202" s="39" t="n"/>
      <c r="O202" s="39" t="n"/>
      <c r="P202" s="38">
        <f>IF(COUNTA(A202:D202)+COUNTA(F202:I202)+COUNTA(K202:O202)=0,"",IF(ISNUMBER(K202),AND(K202=INT(K202),K202&gt;=1,K202&lt;=3),FALSE)+IF(ISNUMBER(L202),AND(L202=INT(L202),L202&gt;=1,L202&lt;=3),FALSE)+IF(ISNUMBER(M202),AND(M202=INT(M202),M202&gt;=1,M202&lt;=3),FALSE)+IF(ISNUMBER(N202),AND(N202=INT(N202),N202&gt;=1,N202&lt;=3),FALSE)+IF(ISNUMBER(O202),AND(O202=INT(O202),O202&gt;=1,O202&lt;=3),FALSE))</f>
        <v/>
      </c>
      <c r="Q202" s="38">
        <f>IF(P202=5,SUM(K202:O202),"")</f>
        <v/>
      </c>
      <c r="R202" s="38">
        <f>IF(P202="","",IF(P202&lt;5,"Pendente",IF(NOT(cad_limites_ok),"Pendente",IF(K202=3,"A",IF(Q202&gt;=cad_limite_a,"A",IF(Q202&gt;=cad_limite_b,"B","C"))))))</f>
        <v/>
      </c>
      <c r="S202" s="40">
        <f>IF(P202="","",IF(A202="","Pendente: falta o ID do ativo",IF(COUNTIF(at_id,A202)&gt;1,"ERRO: ID do ativo duplicado",IF(COUNTA(K202:O202)&gt;P202,"Pendente: nota inválida (use inteiro de 1 a 3)",IF(P202&lt;5,"Pendente: falta(m) "&amp;(5-P202)&amp;" nota(s)",IF(NOT(cad_limites_ok),"Pendente: corrija os limites A/B em Critérios",IF(K202=3,"A por Segurança = 3","Classe pela soma e limites")))))))</f>
        <v/>
      </c>
    </row>
    <row r="203">
      <c r="A203" s="36" t="n"/>
      <c r="B203" s="36" t="n"/>
      <c r="C203" s="37" t="n"/>
      <c r="D203" s="36" t="n"/>
      <c r="E203" s="38">
        <f>IF(D203="","",IFERROR(INDEX(lst_tipo_nome,MATCH(D203,lst_tipo_id,0)),"Tipo não cadastrado em Listas"))</f>
        <v/>
      </c>
      <c r="F203" s="36" t="n"/>
      <c r="G203" s="36" t="n"/>
      <c r="H203" s="36" t="n"/>
      <c r="I203" s="39" t="n"/>
      <c r="J203" s="38">
        <f>IF(OR(B203="",D203="",H203="",I203=""),"",IF(B203=H203&amp;"-"&amp;IFERROR(INDEX(lst_tipo_sigla,MATCH(D203,lst_tipo_id,0)),"???")&amp;"-"&amp;RIGHT("00"&amp;I203,3),"OK","Verificar: TAG difere de setor-sigla-número"))</f>
        <v/>
      </c>
      <c r="K203" s="39" t="n"/>
      <c r="L203" s="39" t="n"/>
      <c r="M203" s="39" t="n"/>
      <c r="N203" s="39" t="n"/>
      <c r="O203" s="39" t="n"/>
      <c r="P203" s="38">
        <f>IF(COUNTA(A203:D203)+COUNTA(F203:I203)+COUNTA(K203:O203)=0,"",IF(ISNUMBER(K203),AND(K203=INT(K203),K203&gt;=1,K203&lt;=3),FALSE)+IF(ISNUMBER(L203),AND(L203=INT(L203),L203&gt;=1,L203&lt;=3),FALSE)+IF(ISNUMBER(M203),AND(M203=INT(M203),M203&gt;=1,M203&lt;=3),FALSE)+IF(ISNUMBER(N203),AND(N203=INT(N203),N203&gt;=1,N203&lt;=3),FALSE)+IF(ISNUMBER(O203),AND(O203=INT(O203),O203&gt;=1,O203&lt;=3),FALSE))</f>
        <v/>
      </c>
      <c r="Q203" s="38">
        <f>IF(P203=5,SUM(K203:O203),"")</f>
        <v/>
      </c>
      <c r="R203" s="38">
        <f>IF(P203="","",IF(P203&lt;5,"Pendente",IF(NOT(cad_limites_ok),"Pendente",IF(K203=3,"A",IF(Q203&gt;=cad_limite_a,"A",IF(Q203&gt;=cad_limite_b,"B","C"))))))</f>
        <v/>
      </c>
      <c r="S203" s="40">
        <f>IF(P203="","",IF(A203="","Pendente: falta o ID do ativo",IF(COUNTIF(at_id,A203)&gt;1,"ERRO: ID do ativo duplicado",IF(COUNTA(K203:O203)&gt;P203,"Pendente: nota inválida (use inteiro de 1 a 3)",IF(P203&lt;5,"Pendente: falta(m) "&amp;(5-P203)&amp;" nota(s)",IF(NOT(cad_limites_ok),"Pendente: corrija os limites A/B em Critérios",IF(K203=3,"A por Segurança = 3","Classe pela soma e limites")))))))</f>
        <v/>
      </c>
    </row>
    <row r="204">
      <c r="A204" s="36" t="n"/>
      <c r="B204" s="36" t="n"/>
      <c r="C204" s="37" t="n"/>
      <c r="D204" s="36" t="n"/>
      <c r="E204" s="38">
        <f>IF(D204="","",IFERROR(INDEX(lst_tipo_nome,MATCH(D204,lst_tipo_id,0)),"Tipo não cadastrado em Listas"))</f>
        <v/>
      </c>
      <c r="F204" s="36" t="n"/>
      <c r="G204" s="36" t="n"/>
      <c r="H204" s="36" t="n"/>
      <c r="I204" s="39" t="n"/>
      <c r="J204" s="38">
        <f>IF(OR(B204="",D204="",H204="",I204=""),"",IF(B204=H204&amp;"-"&amp;IFERROR(INDEX(lst_tipo_sigla,MATCH(D204,lst_tipo_id,0)),"???")&amp;"-"&amp;RIGHT("00"&amp;I204,3),"OK","Verificar: TAG difere de setor-sigla-número"))</f>
        <v/>
      </c>
      <c r="K204" s="39" t="n"/>
      <c r="L204" s="39" t="n"/>
      <c r="M204" s="39" t="n"/>
      <c r="N204" s="39" t="n"/>
      <c r="O204" s="39" t="n"/>
      <c r="P204" s="38">
        <f>IF(COUNTA(A204:D204)+COUNTA(F204:I204)+COUNTA(K204:O204)=0,"",IF(ISNUMBER(K204),AND(K204=INT(K204),K204&gt;=1,K204&lt;=3),FALSE)+IF(ISNUMBER(L204),AND(L204=INT(L204),L204&gt;=1,L204&lt;=3),FALSE)+IF(ISNUMBER(M204),AND(M204=INT(M204),M204&gt;=1,M204&lt;=3),FALSE)+IF(ISNUMBER(N204),AND(N204=INT(N204),N204&gt;=1,N204&lt;=3),FALSE)+IF(ISNUMBER(O204),AND(O204=INT(O204),O204&gt;=1,O204&lt;=3),FALSE))</f>
        <v/>
      </c>
      <c r="Q204" s="38">
        <f>IF(P204=5,SUM(K204:O204),"")</f>
        <v/>
      </c>
      <c r="R204" s="38">
        <f>IF(P204="","",IF(P204&lt;5,"Pendente",IF(NOT(cad_limites_ok),"Pendente",IF(K204=3,"A",IF(Q204&gt;=cad_limite_a,"A",IF(Q204&gt;=cad_limite_b,"B","C"))))))</f>
        <v/>
      </c>
      <c r="S204" s="40">
        <f>IF(P204="","",IF(A204="","Pendente: falta o ID do ativo",IF(COUNTIF(at_id,A204)&gt;1,"ERRO: ID do ativo duplicado",IF(COUNTA(K204:O204)&gt;P204,"Pendente: nota inválida (use inteiro de 1 a 3)",IF(P204&lt;5,"Pendente: falta(m) "&amp;(5-P204)&amp;" nota(s)",IF(NOT(cad_limites_ok),"Pendente: corrija os limites A/B em Critérios",IF(K204=3,"A por Segurança = 3","Classe pela soma e limites")))))))</f>
        <v/>
      </c>
    </row>
    <row r="205">
      <c r="A205" s="36" t="n"/>
      <c r="B205" s="36" t="n"/>
      <c r="C205" s="37" t="n"/>
      <c r="D205" s="36" t="n"/>
      <c r="E205" s="38">
        <f>IF(D205="","",IFERROR(INDEX(lst_tipo_nome,MATCH(D205,lst_tipo_id,0)),"Tipo não cadastrado em Listas"))</f>
        <v/>
      </c>
      <c r="F205" s="36" t="n"/>
      <c r="G205" s="36" t="n"/>
      <c r="H205" s="36" t="n"/>
      <c r="I205" s="39" t="n"/>
      <c r="J205" s="38">
        <f>IF(OR(B205="",D205="",H205="",I205=""),"",IF(B205=H205&amp;"-"&amp;IFERROR(INDEX(lst_tipo_sigla,MATCH(D205,lst_tipo_id,0)),"???")&amp;"-"&amp;RIGHT("00"&amp;I205,3),"OK","Verificar: TAG difere de setor-sigla-número"))</f>
        <v/>
      </c>
      <c r="K205" s="39" t="n"/>
      <c r="L205" s="39" t="n"/>
      <c r="M205" s="39" t="n"/>
      <c r="N205" s="39" t="n"/>
      <c r="O205" s="39" t="n"/>
      <c r="P205" s="38">
        <f>IF(COUNTA(A205:D205)+COUNTA(F205:I205)+COUNTA(K205:O205)=0,"",IF(ISNUMBER(K205),AND(K205=INT(K205),K205&gt;=1,K205&lt;=3),FALSE)+IF(ISNUMBER(L205),AND(L205=INT(L205),L205&gt;=1,L205&lt;=3),FALSE)+IF(ISNUMBER(M205),AND(M205=INT(M205),M205&gt;=1,M205&lt;=3),FALSE)+IF(ISNUMBER(N205),AND(N205=INT(N205),N205&gt;=1,N205&lt;=3),FALSE)+IF(ISNUMBER(O205),AND(O205=INT(O205),O205&gt;=1,O205&lt;=3),FALSE))</f>
        <v/>
      </c>
      <c r="Q205" s="38">
        <f>IF(P205=5,SUM(K205:O205),"")</f>
        <v/>
      </c>
      <c r="R205" s="38">
        <f>IF(P205="","",IF(P205&lt;5,"Pendente",IF(NOT(cad_limites_ok),"Pendente",IF(K205=3,"A",IF(Q205&gt;=cad_limite_a,"A",IF(Q205&gt;=cad_limite_b,"B","C"))))))</f>
        <v/>
      </c>
      <c r="S205" s="40">
        <f>IF(P205="","",IF(A205="","Pendente: falta o ID do ativo",IF(COUNTIF(at_id,A205)&gt;1,"ERRO: ID do ativo duplicado",IF(COUNTA(K205:O205)&gt;P205,"Pendente: nota inválida (use inteiro de 1 a 3)",IF(P205&lt;5,"Pendente: falta(m) "&amp;(5-P205)&amp;" nota(s)",IF(NOT(cad_limites_ok),"Pendente: corrija os limites A/B em Critérios",IF(K205=3,"A por Segurança = 3","Classe pela soma e limites")))))))</f>
        <v/>
      </c>
    </row>
    <row r="206">
      <c r="A206" s="36" t="n"/>
      <c r="B206" s="36" t="n"/>
      <c r="C206" s="37" t="n"/>
      <c r="D206" s="36" t="n"/>
      <c r="E206" s="38">
        <f>IF(D206="","",IFERROR(INDEX(lst_tipo_nome,MATCH(D206,lst_tipo_id,0)),"Tipo não cadastrado em Listas"))</f>
        <v/>
      </c>
      <c r="F206" s="36" t="n"/>
      <c r="G206" s="36" t="n"/>
      <c r="H206" s="36" t="n"/>
      <c r="I206" s="39" t="n"/>
      <c r="J206" s="38">
        <f>IF(OR(B206="",D206="",H206="",I206=""),"",IF(B206=H206&amp;"-"&amp;IFERROR(INDEX(lst_tipo_sigla,MATCH(D206,lst_tipo_id,0)),"???")&amp;"-"&amp;RIGHT("00"&amp;I206,3),"OK","Verificar: TAG difere de setor-sigla-número"))</f>
        <v/>
      </c>
      <c r="K206" s="39" t="n"/>
      <c r="L206" s="39" t="n"/>
      <c r="M206" s="39" t="n"/>
      <c r="N206" s="39" t="n"/>
      <c r="O206" s="39" t="n"/>
      <c r="P206" s="38">
        <f>IF(COUNTA(A206:D206)+COUNTA(F206:I206)+COUNTA(K206:O206)=0,"",IF(ISNUMBER(K206),AND(K206=INT(K206),K206&gt;=1,K206&lt;=3),FALSE)+IF(ISNUMBER(L206),AND(L206=INT(L206),L206&gt;=1,L206&lt;=3),FALSE)+IF(ISNUMBER(M206),AND(M206=INT(M206),M206&gt;=1,M206&lt;=3),FALSE)+IF(ISNUMBER(N206),AND(N206=INT(N206),N206&gt;=1,N206&lt;=3),FALSE)+IF(ISNUMBER(O206),AND(O206=INT(O206),O206&gt;=1,O206&lt;=3),FALSE))</f>
        <v/>
      </c>
      <c r="Q206" s="38">
        <f>IF(P206=5,SUM(K206:O206),"")</f>
        <v/>
      </c>
      <c r="R206" s="38">
        <f>IF(P206="","",IF(P206&lt;5,"Pendente",IF(NOT(cad_limites_ok),"Pendente",IF(K206=3,"A",IF(Q206&gt;=cad_limite_a,"A",IF(Q206&gt;=cad_limite_b,"B","C"))))))</f>
        <v/>
      </c>
      <c r="S206" s="40">
        <f>IF(P206="","",IF(A206="","Pendente: falta o ID do ativo",IF(COUNTIF(at_id,A206)&gt;1,"ERRO: ID do ativo duplicado",IF(COUNTA(K206:O206)&gt;P206,"Pendente: nota inválida (use inteiro de 1 a 3)",IF(P206&lt;5,"Pendente: falta(m) "&amp;(5-P206)&amp;" nota(s)",IF(NOT(cad_limites_ok),"Pendente: corrija os limites A/B em Critérios",IF(K206=3,"A por Segurança = 3","Classe pela soma e limites")))))))</f>
        <v/>
      </c>
    </row>
    <row r="207">
      <c r="A207" s="36" t="n"/>
      <c r="B207" s="36" t="n"/>
      <c r="C207" s="37" t="n"/>
      <c r="D207" s="36" t="n"/>
      <c r="E207" s="38">
        <f>IF(D207="","",IFERROR(INDEX(lst_tipo_nome,MATCH(D207,lst_tipo_id,0)),"Tipo não cadastrado em Listas"))</f>
        <v/>
      </c>
      <c r="F207" s="36" t="n"/>
      <c r="G207" s="36" t="n"/>
      <c r="H207" s="36" t="n"/>
      <c r="I207" s="39" t="n"/>
      <c r="J207" s="38">
        <f>IF(OR(B207="",D207="",H207="",I207=""),"",IF(B207=H207&amp;"-"&amp;IFERROR(INDEX(lst_tipo_sigla,MATCH(D207,lst_tipo_id,0)),"???")&amp;"-"&amp;RIGHT("00"&amp;I207,3),"OK","Verificar: TAG difere de setor-sigla-número"))</f>
        <v/>
      </c>
      <c r="K207" s="39" t="n"/>
      <c r="L207" s="39" t="n"/>
      <c r="M207" s="39" t="n"/>
      <c r="N207" s="39" t="n"/>
      <c r="O207" s="39" t="n"/>
      <c r="P207" s="38">
        <f>IF(COUNTA(A207:D207)+COUNTA(F207:I207)+COUNTA(K207:O207)=0,"",IF(ISNUMBER(K207),AND(K207=INT(K207),K207&gt;=1,K207&lt;=3),FALSE)+IF(ISNUMBER(L207),AND(L207=INT(L207),L207&gt;=1,L207&lt;=3),FALSE)+IF(ISNUMBER(M207),AND(M207=INT(M207),M207&gt;=1,M207&lt;=3),FALSE)+IF(ISNUMBER(N207),AND(N207=INT(N207),N207&gt;=1,N207&lt;=3),FALSE)+IF(ISNUMBER(O207),AND(O207=INT(O207),O207&gt;=1,O207&lt;=3),FALSE))</f>
        <v/>
      </c>
      <c r="Q207" s="38">
        <f>IF(P207=5,SUM(K207:O207),"")</f>
        <v/>
      </c>
      <c r="R207" s="38">
        <f>IF(P207="","",IF(P207&lt;5,"Pendente",IF(NOT(cad_limites_ok),"Pendente",IF(K207=3,"A",IF(Q207&gt;=cad_limite_a,"A",IF(Q207&gt;=cad_limite_b,"B","C"))))))</f>
        <v/>
      </c>
      <c r="S207" s="40">
        <f>IF(P207="","",IF(A207="","Pendente: falta o ID do ativo",IF(COUNTIF(at_id,A207)&gt;1,"ERRO: ID do ativo duplicado",IF(COUNTA(K207:O207)&gt;P207,"Pendente: nota inválida (use inteiro de 1 a 3)",IF(P207&lt;5,"Pendente: falta(m) "&amp;(5-P207)&amp;" nota(s)",IF(NOT(cad_limites_ok),"Pendente: corrija os limites A/B em Critérios",IF(K207=3,"A por Segurança = 3","Classe pela soma e limites")))))))</f>
        <v/>
      </c>
    </row>
    <row r="208">
      <c r="A208" s="36" t="n"/>
      <c r="B208" s="36" t="n"/>
      <c r="C208" s="37" t="n"/>
      <c r="D208" s="36" t="n"/>
      <c r="E208" s="38">
        <f>IF(D208="","",IFERROR(INDEX(lst_tipo_nome,MATCH(D208,lst_tipo_id,0)),"Tipo não cadastrado em Listas"))</f>
        <v/>
      </c>
      <c r="F208" s="36" t="n"/>
      <c r="G208" s="36" t="n"/>
      <c r="H208" s="36" t="n"/>
      <c r="I208" s="39" t="n"/>
      <c r="J208" s="38">
        <f>IF(OR(B208="",D208="",H208="",I208=""),"",IF(B208=H208&amp;"-"&amp;IFERROR(INDEX(lst_tipo_sigla,MATCH(D208,lst_tipo_id,0)),"???")&amp;"-"&amp;RIGHT("00"&amp;I208,3),"OK","Verificar: TAG difere de setor-sigla-número"))</f>
        <v/>
      </c>
      <c r="K208" s="39" t="n"/>
      <c r="L208" s="39" t="n"/>
      <c r="M208" s="39" t="n"/>
      <c r="N208" s="39" t="n"/>
      <c r="O208" s="39" t="n"/>
      <c r="P208" s="38">
        <f>IF(COUNTA(A208:D208)+COUNTA(F208:I208)+COUNTA(K208:O208)=0,"",IF(ISNUMBER(K208),AND(K208=INT(K208),K208&gt;=1,K208&lt;=3),FALSE)+IF(ISNUMBER(L208),AND(L208=INT(L208),L208&gt;=1,L208&lt;=3),FALSE)+IF(ISNUMBER(M208),AND(M208=INT(M208),M208&gt;=1,M208&lt;=3),FALSE)+IF(ISNUMBER(N208),AND(N208=INT(N208),N208&gt;=1,N208&lt;=3),FALSE)+IF(ISNUMBER(O208),AND(O208=INT(O208),O208&gt;=1,O208&lt;=3),FALSE))</f>
        <v/>
      </c>
      <c r="Q208" s="38">
        <f>IF(P208=5,SUM(K208:O208),"")</f>
        <v/>
      </c>
      <c r="R208" s="38">
        <f>IF(P208="","",IF(P208&lt;5,"Pendente",IF(NOT(cad_limites_ok),"Pendente",IF(K208=3,"A",IF(Q208&gt;=cad_limite_a,"A",IF(Q208&gt;=cad_limite_b,"B","C"))))))</f>
        <v/>
      </c>
      <c r="S208" s="40">
        <f>IF(P208="","",IF(A208="","Pendente: falta o ID do ativo",IF(COUNTIF(at_id,A208)&gt;1,"ERRO: ID do ativo duplicado",IF(COUNTA(K208:O208)&gt;P208,"Pendente: nota inválida (use inteiro de 1 a 3)",IF(P208&lt;5,"Pendente: falta(m) "&amp;(5-P208)&amp;" nota(s)",IF(NOT(cad_limites_ok),"Pendente: corrija os limites A/B em Critérios",IF(K208=3,"A por Segurança = 3","Classe pela soma e limites")))))))</f>
        <v/>
      </c>
    </row>
    <row r="209">
      <c r="A209" s="36" t="n"/>
      <c r="B209" s="36" t="n"/>
      <c r="C209" s="37" t="n"/>
      <c r="D209" s="36" t="n"/>
      <c r="E209" s="38">
        <f>IF(D209="","",IFERROR(INDEX(lst_tipo_nome,MATCH(D209,lst_tipo_id,0)),"Tipo não cadastrado em Listas"))</f>
        <v/>
      </c>
      <c r="F209" s="36" t="n"/>
      <c r="G209" s="36" t="n"/>
      <c r="H209" s="36" t="n"/>
      <c r="I209" s="39" t="n"/>
      <c r="J209" s="38">
        <f>IF(OR(B209="",D209="",H209="",I209=""),"",IF(B209=H209&amp;"-"&amp;IFERROR(INDEX(lst_tipo_sigla,MATCH(D209,lst_tipo_id,0)),"???")&amp;"-"&amp;RIGHT("00"&amp;I209,3),"OK","Verificar: TAG difere de setor-sigla-número"))</f>
        <v/>
      </c>
      <c r="K209" s="39" t="n"/>
      <c r="L209" s="39" t="n"/>
      <c r="M209" s="39" t="n"/>
      <c r="N209" s="39" t="n"/>
      <c r="O209" s="39" t="n"/>
      <c r="P209" s="38">
        <f>IF(COUNTA(A209:D209)+COUNTA(F209:I209)+COUNTA(K209:O209)=0,"",IF(ISNUMBER(K209),AND(K209=INT(K209),K209&gt;=1,K209&lt;=3),FALSE)+IF(ISNUMBER(L209),AND(L209=INT(L209),L209&gt;=1,L209&lt;=3),FALSE)+IF(ISNUMBER(M209),AND(M209=INT(M209),M209&gt;=1,M209&lt;=3),FALSE)+IF(ISNUMBER(N209),AND(N209=INT(N209),N209&gt;=1,N209&lt;=3),FALSE)+IF(ISNUMBER(O209),AND(O209=INT(O209),O209&gt;=1,O209&lt;=3),FALSE))</f>
        <v/>
      </c>
      <c r="Q209" s="38">
        <f>IF(P209=5,SUM(K209:O209),"")</f>
        <v/>
      </c>
      <c r="R209" s="38">
        <f>IF(P209="","",IF(P209&lt;5,"Pendente",IF(NOT(cad_limites_ok),"Pendente",IF(K209=3,"A",IF(Q209&gt;=cad_limite_a,"A",IF(Q209&gt;=cad_limite_b,"B","C"))))))</f>
        <v/>
      </c>
      <c r="S209" s="40">
        <f>IF(P209="","",IF(A209="","Pendente: falta o ID do ativo",IF(COUNTIF(at_id,A209)&gt;1,"ERRO: ID do ativo duplicado",IF(COUNTA(K209:O209)&gt;P209,"Pendente: nota inválida (use inteiro de 1 a 3)",IF(P209&lt;5,"Pendente: falta(m) "&amp;(5-P209)&amp;" nota(s)",IF(NOT(cad_limites_ok),"Pendente: corrija os limites A/B em Critérios",IF(K209=3,"A por Segurança = 3","Classe pela soma e limites")))))))</f>
        <v/>
      </c>
    </row>
    <row r="210">
      <c r="A210" s="36" t="n"/>
      <c r="B210" s="36" t="n"/>
      <c r="C210" s="37" t="n"/>
      <c r="D210" s="36" t="n"/>
      <c r="E210" s="38">
        <f>IF(D210="","",IFERROR(INDEX(lst_tipo_nome,MATCH(D210,lst_tipo_id,0)),"Tipo não cadastrado em Listas"))</f>
        <v/>
      </c>
      <c r="F210" s="36" t="n"/>
      <c r="G210" s="36" t="n"/>
      <c r="H210" s="36" t="n"/>
      <c r="I210" s="39" t="n"/>
      <c r="J210" s="38">
        <f>IF(OR(B210="",D210="",H210="",I210=""),"",IF(B210=H210&amp;"-"&amp;IFERROR(INDEX(lst_tipo_sigla,MATCH(D210,lst_tipo_id,0)),"???")&amp;"-"&amp;RIGHT("00"&amp;I210,3),"OK","Verificar: TAG difere de setor-sigla-número"))</f>
        <v/>
      </c>
      <c r="K210" s="39" t="n"/>
      <c r="L210" s="39" t="n"/>
      <c r="M210" s="39" t="n"/>
      <c r="N210" s="39" t="n"/>
      <c r="O210" s="39" t="n"/>
      <c r="P210" s="38">
        <f>IF(COUNTA(A210:D210)+COUNTA(F210:I210)+COUNTA(K210:O210)=0,"",IF(ISNUMBER(K210),AND(K210=INT(K210),K210&gt;=1,K210&lt;=3),FALSE)+IF(ISNUMBER(L210),AND(L210=INT(L210),L210&gt;=1,L210&lt;=3),FALSE)+IF(ISNUMBER(M210),AND(M210=INT(M210),M210&gt;=1,M210&lt;=3),FALSE)+IF(ISNUMBER(N210),AND(N210=INT(N210),N210&gt;=1,N210&lt;=3),FALSE)+IF(ISNUMBER(O210),AND(O210=INT(O210),O210&gt;=1,O210&lt;=3),FALSE))</f>
        <v/>
      </c>
      <c r="Q210" s="38">
        <f>IF(P210=5,SUM(K210:O210),"")</f>
        <v/>
      </c>
      <c r="R210" s="38">
        <f>IF(P210="","",IF(P210&lt;5,"Pendente",IF(NOT(cad_limites_ok),"Pendente",IF(K210=3,"A",IF(Q210&gt;=cad_limite_a,"A",IF(Q210&gt;=cad_limite_b,"B","C"))))))</f>
        <v/>
      </c>
      <c r="S210" s="40">
        <f>IF(P210="","",IF(A210="","Pendente: falta o ID do ativo",IF(COUNTIF(at_id,A210)&gt;1,"ERRO: ID do ativo duplicado",IF(COUNTA(K210:O210)&gt;P210,"Pendente: nota inválida (use inteiro de 1 a 3)",IF(P210&lt;5,"Pendente: falta(m) "&amp;(5-P210)&amp;" nota(s)",IF(NOT(cad_limites_ok),"Pendente: corrija os limites A/B em Critérios",IF(K210=3,"A por Segurança = 3","Classe pela soma e limites")))))))</f>
        <v/>
      </c>
    </row>
    <row r="211">
      <c r="A211" s="36" t="n"/>
      <c r="B211" s="36" t="n"/>
      <c r="C211" s="37" t="n"/>
      <c r="D211" s="36" t="n"/>
      <c r="E211" s="38">
        <f>IF(D211="","",IFERROR(INDEX(lst_tipo_nome,MATCH(D211,lst_tipo_id,0)),"Tipo não cadastrado em Listas"))</f>
        <v/>
      </c>
      <c r="F211" s="36" t="n"/>
      <c r="G211" s="36" t="n"/>
      <c r="H211" s="36" t="n"/>
      <c r="I211" s="39" t="n"/>
      <c r="J211" s="38">
        <f>IF(OR(B211="",D211="",H211="",I211=""),"",IF(B211=H211&amp;"-"&amp;IFERROR(INDEX(lst_tipo_sigla,MATCH(D211,lst_tipo_id,0)),"???")&amp;"-"&amp;RIGHT("00"&amp;I211,3),"OK","Verificar: TAG difere de setor-sigla-número"))</f>
        <v/>
      </c>
      <c r="K211" s="39" t="n"/>
      <c r="L211" s="39" t="n"/>
      <c r="M211" s="39" t="n"/>
      <c r="N211" s="39" t="n"/>
      <c r="O211" s="39" t="n"/>
      <c r="P211" s="38">
        <f>IF(COUNTA(A211:D211)+COUNTA(F211:I211)+COUNTA(K211:O211)=0,"",IF(ISNUMBER(K211),AND(K211=INT(K211),K211&gt;=1,K211&lt;=3),FALSE)+IF(ISNUMBER(L211),AND(L211=INT(L211),L211&gt;=1,L211&lt;=3),FALSE)+IF(ISNUMBER(M211),AND(M211=INT(M211),M211&gt;=1,M211&lt;=3),FALSE)+IF(ISNUMBER(N211),AND(N211=INT(N211),N211&gt;=1,N211&lt;=3),FALSE)+IF(ISNUMBER(O211),AND(O211=INT(O211),O211&gt;=1,O211&lt;=3),FALSE))</f>
        <v/>
      </c>
      <c r="Q211" s="38">
        <f>IF(P211=5,SUM(K211:O211),"")</f>
        <v/>
      </c>
      <c r="R211" s="38">
        <f>IF(P211="","",IF(P211&lt;5,"Pendente",IF(NOT(cad_limites_ok),"Pendente",IF(K211=3,"A",IF(Q211&gt;=cad_limite_a,"A",IF(Q211&gt;=cad_limite_b,"B","C"))))))</f>
        <v/>
      </c>
      <c r="S211" s="40">
        <f>IF(P211="","",IF(A211="","Pendente: falta o ID do ativo",IF(COUNTIF(at_id,A211)&gt;1,"ERRO: ID do ativo duplicado",IF(COUNTA(K211:O211)&gt;P211,"Pendente: nota inválida (use inteiro de 1 a 3)",IF(P211&lt;5,"Pendente: falta(m) "&amp;(5-P211)&amp;" nota(s)",IF(NOT(cad_limites_ok),"Pendente: corrija os limites A/B em Critérios",IF(K211=3,"A por Segurança = 3","Classe pela soma e limites")))))))</f>
        <v/>
      </c>
    </row>
    <row r="212">
      <c r="A212" s="36" t="n"/>
      <c r="B212" s="36" t="n"/>
      <c r="C212" s="37" t="n"/>
      <c r="D212" s="36" t="n"/>
      <c r="E212" s="38">
        <f>IF(D212="","",IFERROR(INDEX(lst_tipo_nome,MATCH(D212,lst_tipo_id,0)),"Tipo não cadastrado em Listas"))</f>
        <v/>
      </c>
      <c r="F212" s="36" t="n"/>
      <c r="G212" s="36" t="n"/>
      <c r="H212" s="36" t="n"/>
      <c r="I212" s="39" t="n"/>
      <c r="J212" s="38">
        <f>IF(OR(B212="",D212="",H212="",I212=""),"",IF(B212=H212&amp;"-"&amp;IFERROR(INDEX(lst_tipo_sigla,MATCH(D212,lst_tipo_id,0)),"???")&amp;"-"&amp;RIGHT("00"&amp;I212,3),"OK","Verificar: TAG difere de setor-sigla-número"))</f>
        <v/>
      </c>
      <c r="K212" s="39" t="n"/>
      <c r="L212" s="39" t="n"/>
      <c r="M212" s="39" t="n"/>
      <c r="N212" s="39" t="n"/>
      <c r="O212" s="39" t="n"/>
      <c r="P212" s="38">
        <f>IF(COUNTA(A212:D212)+COUNTA(F212:I212)+COUNTA(K212:O212)=0,"",IF(ISNUMBER(K212),AND(K212=INT(K212),K212&gt;=1,K212&lt;=3),FALSE)+IF(ISNUMBER(L212),AND(L212=INT(L212),L212&gt;=1,L212&lt;=3),FALSE)+IF(ISNUMBER(M212),AND(M212=INT(M212),M212&gt;=1,M212&lt;=3),FALSE)+IF(ISNUMBER(N212),AND(N212=INT(N212),N212&gt;=1,N212&lt;=3),FALSE)+IF(ISNUMBER(O212),AND(O212=INT(O212),O212&gt;=1,O212&lt;=3),FALSE))</f>
        <v/>
      </c>
      <c r="Q212" s="38">
        <f>IF(P212=5,SUM(K212:O212),"")</f>
        <v/>
      </c>
      <c r="R212" s="38">
        <f>IF(P212="","",IF(P212&lt;5,"Pendente",IF(NOT(cad_limites_ok),"Pendente",IF(K212=3,"A",IF(Q212&gt;=cad_limite_a,"A",IF(Q212&gt;=cad_limite_b,"B","C"))))))</f>
        <v/>
      </c>
      <c r="S212" s="40">
        <f>IF(P212="","",IF(A212="","Pendente: falta o ID do ativo",IF(COUNTIF(at_id,A212)&gt;1,"ERRO: ID do ativo duplicado",IF(COUNTA(K212:O212)&gt;P212,"Pendente: nota inválida (use inteiro de 1 a 3)",IF(P212&lt;5,"Pendente: falta(m) "&amp;(5-P212)&amp;" nota(s)",IF(NOT(cad_limites_ok),"Pendente: corrija os limites A/B em Critérios",IF(K212=3,"A por Segurança = 3","Classe pela soma e limites")))))))</f>
        <v/>
      </c>
    </row>
    <row r="213">
      <c r="A213" s="36" t="n"/>
      <c r="B213" s="36" t="n"/>
      <c r="C213" s="37" t="n"/>
      <c r="D213" s="36" t="n"/>
      <c r="E213" s="38">
        <f>IF(D213="","",IFERROR(INDEX(lst_tipo_nome,MATCH(D213,lst_tipo_id,0)),"Tipo não cadastrado em Listas"))</f>
        <v/>
      </c>
      <c r="F213" s="36" t="n"/>
      <c r="G213" s="36" t="n"/>
      <c r="H213" s="36" t="n"/>
      <c r="I213" s="39" t="n"/>
      <c r="J213" s="38">
        <f>IF(OR(B213="",D213="",H213="",I213=""),"",IF(B213=H213&amp;"-"&amp;IFERROR(INDEX(lst_tipo_sigla,MATCH(D213,lst_tipo_id,0)),"???")&amp;"-"&amp;RIGHT("00"&amp;I213,3),"OK","Verificar: TAG difere de setor-sigla-número"))</f>
        <v/>
      </c>
      <c r="K213" s="39" t="n"/>
      <c r="L213" s="39" t="n"/>
      <c r="M213" s="39" t="n"/>
      <c r="N213" s="39" t="n"/>
      <c r="O213" s="39" t="n"/>
      <c r="P213" s="38">
        <f>IF(COUNTA(A213:D213)+COUNTA(F213:I213)+COUNTA(K213:O213)=0,"",IF(ISNUMBER(K213),AND(K213=INT(K213),K213&gt;=1,K213&lt;=3),FALSE)+IF(ISNUMBER(L213),AND(L213=INT(L213),L213&gt;=1,L213&lt;=3),FALSE)+IF(ISNUMBER(M213),AND(M213=INT(M213),M213&gt;=1,M213&lt;=3),FALSE)+IF(ISNUMBER(N213),AND(N213=INT(N213),N213&gt;=1,N213&lt;=3),FALSE)+IF(ISNUMBER(O213),AND(O213=INT(O213),O213&gt;=1,O213&lt;=3),FALSE))</f>
        <v/>
      </c>
      <c r="Q213" s="38">
        <f>IF(P213=5,SUM(K213:O213),"")</f>
        <v/>
      </c>
      <c r="R213" s="38">
        <f>IF(P213="","",IF(P213&lt;5,"Pendente",IF(NOT(cad_limites_ok),"Pendente",IF(K213=3,"A",IF(Q213&gt;=cad_limite_a,"A",IF(Q213&gt;=cad_limite_b,"B","C"))))))</f>
        <v/>
      </c>
      <c r="S213" s="40">
        <f>IF(P213="","",IF(A213="","Pendente: falta o ID do ativo",IF(COUNTIF(at_id,A213)&gt;1,"ERRO: ID do ativo duplicado",IF(COUNTA(K213:O213)&gt;P213,"Pendente: nota inválida (use inteiro de 1 a 3)",IF(P213&lt;5,"Pendente: falta(m) "&amp;(5-P213)&amp;" nota(s)",IF(NOT(cad_limites_ok),"Pendente: corrija os limites A/B em Critérios",IF(K213=3,"A por Segurança = 3","Classe pela soma e limites")))))))</f>
        <v/>
      </c>
    </row>
    <row r="214">
      <c r="A214" s="36" t="n"/>
      <c r="B214" s="36" t="n"/>
      <c r="C214" s="37" t="n"/>
      <c r="D214" s="36" t="n"/>
      <c r="E214" s="38">
        <f>IF(D214="","",IFERROR(INDEX(lst_tipo_nome,MATCH(D214,lst_tipo_id,0)),"Tipo não cadastrado em Listas"))</f>
        <v/>
      </c>
      <c r="F214" s="36" t="n"/>
      <c r="G214" s="36" t="n"/>
      <c r="H214" s="36" t="n"/>
      <c r="I214" s="39" t="n"/>
      <c r="J214" s="38">
        <f>IF(OR(B214="",D214="",H214="",I214=""),"",IF(B214=H214&amp;"-"&amp;IFERROR(INDEX(lst_tipo_sigla,MATCH(D214,lst_tipo_id,0)),"???")&amp;"-"&amp;RIGHT("00"&amp;I214,3),"OK","Verificar: TAG difere de setor-sigla-número"))</f>
        <v/>
      </c>
      <c r="K214" s="39" t="n"/>
      <c r="L214" s="39" t="n"/>
      <c r="M214" s="39" t="n"/>
      <c r="N214" s="39" t="n"/>
      <c r="O214" s="39" t="n"/>
      <c r="P214" s="38">
        <f>IF(COUNTA(A214:D214)+COUNTA(F214:I214)+COUNTA(K214:O214)=0,"",IF(ISNUMBER(K214),AND(K214=INT(K214),K214&gt;=1,K214&lt;=3),FALSE)+IF(ISNUMBER(L214),AND(L214=INT(L214),L214&gt;=1,L214&lt;=3),FALSE)+IF(ISNUMBER(M214),AND(M214=INT(M214),M214&gt;=1,M214&lt;=3),FALSE)+IF(ISNUMBER(N214),AND(N214=INT(N214),N214&gt;=1,N214&lt;=3),FALSE)+IF(ISNUMBER(O214),AND(O214=INT(O214),O214&gt;=1,O214&lt;=3),FALSE))</f>
        <v/>
      </c>
      <c r="Q214" s="38">
        <f>IF(P214=5,SUM(K214:O214),"")</f>
        <v/>
      </c>
      <c r="R214" s="38">
        <f>IF(P214="","",IF(P214&lt;5,"Pendente",IF(NOT(cad_limites_ok),"Pendente",IF(K214=3,"A",IF(Q214&gt;=cad_limite_a,"A",IF(Q214&gt;=cad_limite_b,"B","C"))))))</f>
        <v/>
      </c>
      <c r="S214" s="40">
        <f>IF(P214="","",IF(A214="","Pendente: falta o ID do ativo",IF(COUNTIF(at_id,A214)&gt;1,"ERRO: ID do ativo duplicado",IF(COUNTA(K214:O214)&gt;P214,"Pendente: nota inválida (use inteiro de 1 a 3)",IF(P214&lt;5,"Pendente: falta(m) "&amp;(5-P214)&amp;" nota(s)",IF(NOT(cad_limites_ok),"Pendente: corrija os limites A/B em Critérios",IF(K214=3,"A por Segurança = 3","Classe pela soma e limites")))))))</f>
        <v/>
      </c>
    </row>
    <row r="215">
      <c r="A215" s="36" t="n"/>
      <c r="B215" s="36" t="n"/>
      <c r="C215" s="37" t="n"/>
      <c r="D215" s="36" t="n"/>
      <c r="E215" s="38">
        <f>IF(D215="","",IFERROR(INDEX(lst_tipo_nome,MATCH(D215,lst_tipo_id,0)),"Tipo não cadastrado em Listas"))</f>
        <v/>
      </c>
      <c r="F215" s="36" t="n"/>
      <c r="G215" s="36" t="n"/>
      <c r="H215" s="36" t="n"/>
      <c r="I215" s="39" t="n"/>
      <c r="J215" s="38">
        <f>IF(OR(B215="",D215="",H215="",I215=""),"",IF(B215=H215&amp;"-"&amp;IFERROR(INDEX(lst_tipo_sigla,MATCH(D215,lst_tipo_id,0)),"???")&amp;"-"&amp;RIGHT("00"&amp;I215,3),"OK","Verificar: TAG difere de setor-sigla-número"))</f>
        <v/>
      </c>
      <c r="K215" s="39" t="n"/>
      <c r="L215" s="39" t="n"/>
      <c r="M215" s="39" t="n"/>
      <c r="N215" s="39" t="n"/>
      <c r="O215" s="39" t="n"/>
      <c r="P215" s="38">
        <f>IF(COUNTA(A215:D215)+COUNTA(F215:I215)+COUNTA(K215:O215)=0,"",IF(ISNUMBER(K215),AND(K215=INT(K215),K215&gt;=1,K215&lt;=3),FALSE)+IF(ISNUMBER(L215),AND(L215=INT(L215),L215&gt;=1,L215&lt;=3),FALSE)+IF(ISNUMBER(M215),AND(M215=INT(M215),M215&gt;=1,M215&lt;=3),FALSE)+IF(ISNUMBER(N215),AND(N215=INT(N215),N215&gt;=1,N215&lt;=3),FALSE)+IF(ISNUMBER(O215),AND(O215=INT(O215),O215&gt;=1,O215&lt;=3),FALSE))</f>
        <v/>
      </c>
      <c r="Q215" s="38">
        <f>IF(P215=5,SUM(K215:O215),"")</f>
        <v/>
      </c>
      <c r="R215" s="38">
        <f>IF(P215="","",IF(P215&lt;5,"Pendente",IF(NOT(cad_limites_ok),"Pendente",IF(K215=3,"A",IF(Q215&gt;=cad_limite_a,"A",IF(Q215&gt;=cad_limite_b,"B","C"))))))</f>
        <v/>
      </c>
      <c r="S215" s="40">
        <f>IF(P215="","",IF(A215="","Pendente: falta o ID do ativo",IF(COUNTIF(at_id,A215)&gt;1,"ERRO: ID do ativo duplicado",IF(COUNTA(K215:O215)&gt;P215,"Pendente: nota inválida (use inteiro de 1 a 3)",IF(P215&lt;5,"Pendente: falta(m) "&amp;(5-P215)&amp;" nota(s)",IF(NOT(cad_limites_ok),"Pendente: corrija os limites A/B em Critérios",IF(K215=3,"A por Segurança = 3","Classe pela soma e limites")))))))</f>
        <v/>
      </c>
    </row>
    <row r="216">
      <c r="A216" s="36" t="n"/>
      <c r="B216" s="36" t="n"/>
      <c r="C216" s="37" t="n"/>
      <c r="D216" s="36" t="n"/>
      <c r="E216" s="38">
        <f>IF(D216="","",IFERROR(INDEX(lst_tipo_nome,MATCH(D216,lst_tipo_id,0)),"Tipo não cadastrado em Listas"))</f>
        <v/>
      </c>
      <c r="F216" s="36" t="n"/>
      <c r="G216" s="36" t="n"/>
      <c r="H216" s="36" t="n"/>
      <c r="I216" s="39" t="n"/>
      <c r="J216" s="38">
        <f>IF(OR(B216="",D216="",H216="",I216=""),"",IF(B216=H216&amp;"-"&amp;IFERROR(INDEX(lst_tipo_sigla,MATCH(D216,lst_tipo_id,0)),"???")&amp;"-"&amp;RIGHT("00"&amp;I216,3),"OK","Verificar: TAG difere de setor-sigla-número"))</f>
        <v/>
      </c>
      <c r="K216" s="39" t="n"/>
      <c r="L216" s="39" t="n"/>
      <c r="M216" s="39" t="n"/>
      <c r="N216" s="39" t="n"/>
      <c r="O216" s="39" t="n"/>
      <c r="P216" s="38">
        <f>IF(COUNTA(A216:D216)+COUNTA(F216:I216)+COUNTA(K216:O216)=0,"",IF(ISNUMBER(K216),AND(K216=INT(K216),K216&gt;=1,K216&lt;=3),FALSE)+IF(ISNUMBER(L216),AND(L216=INT(L216),L216&gt;=1,L216&lt;=3),FALSE)+IF(ISNUMBER(M216),AND(M216=INT(M216),M216&gt;=1,M216&lt;=3),FALSE)+IF(ISNUMBER(N216),AND(N216=INT(N216),N216&gt;=1,N216&lt;=3),FALSE)+IF(ISNUMBER(O216),AND(O216=INT(O216),O216&gt;=1,O216&lt;=3),FALSE))</f>
        <v/>
      </c>
      <c r="Q216" s="38">
        <f>IF(P216=5,SUM(K216:O216),"")</f>
        <v/>
      </c>
      <c r="R216" s="38">
        <f>IF(P216="","",IF(P216&lt;5,"Pendente",IF(NOT(cad_limites_ok),"Pendente",IF(K216=3,"A",IF(Q216&gt;=cad_limite_a,"A",IF(Q216&gt;=cad_limite_b,"B","C"))))))</f>
        <v/>
      </c>
      <c r="S216" s="40">
        <f>IF(P216="","",IF(A216="","Pendente: falta o ID do ativo",IF(COUNTIF(at_id,A216)&gt;1,"ERRO: ID do ativo duplicado",IF(COUNTA(K216:O216)&gt;P216,"Pendente: nota inválida (use inteiro de 1 a 3)",IF(P216&lt;5,"Pendente: falta(m) "&amp;(5-P216)&amp;" nota(s)",IF(NOT(cad_limites_ok),"Pendente: corrija os limites A/B em Critérios",IF(K216=3,"A por Segurança = 3","Classe pela soma e limites")))))))</f>
        <v/>
      </c>
    </row>
    <row r="217">
      <c r="A217" s="36" t="n"/>
      <c r="B217" s="36" t="n"/>
      <c r="C217" s="37" t="n"/>
      <c r="D217" s="36" t="n"/>
      <c r="E217" s="38">
        <f>IF(D217="","",IFERROR(INDEX(lst_tipo_nome,MATCH(D217,lst_tipo_id,0)),"Tipo não cadastrado em Listas"))</f>
        <v/>
      </c>
      <c r="F217" s="36" t="n"/>
      <c r="G217" s="36" t="n"/>
      <c r="H217" s="36" t="n"/>
      <c r="I217" s="39" t="n"/>
      <c r="J217" s="38">
        <f>IF(OR(B217="",D217="",H217="",I217=""),"",IF(B217=H217&amp;"-"&amp;IFERROR(INDEX(lst_tipo_sigla,MATCH(D217,lst_tipo_id,0)),"???")&amp;"-"&amp;RIGHT("00"&amp;I217,3),"OK","Verificar: TAG difere de setor-sigla-número"))</f>
        <v/>
      </c>
      <c r="K217" s="39" t="n"/>
      <c r="L217" s="39" t="n"/>
      <c r="M217" s="39" t="n"/>
      <c r="N217" s="39" t="n"/>
      <c r="O217" s="39" t="n"/>
      <c r="P217" s="38">
        <f>IF(COUNTA(A217:D217)+COUNTA(F217:I217)+COUNTA(K217:O217)=0,"",IF(ISNUMBER(K217),AND(K217=INT(K217),K217&gt;=1,K217&lt;=3),FALSE)+IF(ISNUMBER(L217),AND(L217=INT(L217),L217&gt;=1,L217&lt;=3),FALSE)+IF(ISNUMBER(M217),AND(M217=INT(M217),M217&gt;=1,M217&lt;=3),FALSE)+IF(ISNUMBER(N217),AND(N217=INT(N217),N217&gt;=1,N217&lt;=3),FALSE)+IF(ISNUMBER(O217),AND(O217=INT(O217),O217&gt;=1,O217&lt;=3),FALSE))</f>
        <v/>
      </c>
      <c r="Q217" s="38">
        <f>IF(P217=5,SUM(K217:O217),"")</f>
        <v/>
      </c>
      <c r="R217" s="38">
        <f>IF(P217="","",IF(P217&lt;5,"Pendente",IF(NOT(cad_limites_ok),"Pendente",IF(K217=3,"A",IF(Q217&gt;=cad_limite_a,"A",IF(Q217&gt;=cad_limite_b,"B","C"))))))</f>
        <v/>
      </c>
      <c r="S217" s="40">
        <f>IF(P217="","",IF(A217="","Pendente: falta o ID do ativo",IF(COUNTIF(at_id,A217)&gt;1,"ERRO: ID do ativo duplicado",IF(COUNTA(K217:O217)&gt;P217,"Pendente: nota inválida (use inteiro de 1 a 3)",IF(P217&lt;5,"Pendente: falta(m) "&amp;(5-P217)&amp;" nota(s)",IF(NOT(cad_limites_ok),"Pendente: corrija os limites A/B em Critérios",IF(K217=3,"A por Segurança = 3","Classe pela soma e limites")))))))</f>
        <v/>
      </c>
    </row>
    <row r="218">
      <c r="A218" s="36" t="n"/>
      <c r="B218" s="36" t="n"/>
      <c r="C218" s="37" t="n"/>
      <c r="D218" s="36" t="n"/>
      <c r="E218" s="38">
        <f>IF(D218="","",IFERROR(INDEX(lst_tipo_nome,MATCH(D218,lst_tipo_id,0)),"Tipo não cadastrado em Listas"))</f>
        <v/>
      </c>
      <c r="F218" s="36" t="n"/>
      <c r="G218" s="36" t="n"/>
      <c r="H218" s="36" t="n"/>
      <c r="I218" s="39" t="n"/>
      <c r="J218" s="38">
        <f>IF(OR(B218="",D218="",H218="",I218=""),"",IF(B218=H218&amp;"-"&amp;IFERROR(INDEX(lst_tipo_sigla,MATCH(D218,lst_tipo_id,0)),"???")&amp;"-"&amp;RIGHT("00"&amp;I218,3),"OK","Verificar: TAG difere de setor-sigla-número"))</f>
        <v/>
      </c>
      <c r="K218" s="39" t="n"/>
      <c r="L218" s="39" t="n"/>
      <c r="M218" s="39" t="n"/>
      <c r="N218" s="39" t="n"/>
      <c r="O218" s="39" t="n"/>
      <c r="P218" s="38">
        <f>IF(COUNTA(A218:D218)+COUNTA(F218:I218)+COUNTA(K218:O218)=0,"",IF(ISNUMBER(K218),AND(K218=INT(K218),K218&gt;=1,K218&lt;=3),FALSE)+IF(ISNUMBER(L218),AND(L218=INT(L218),L218&gt;=1,L218&lt;=3),FALSE)+IF(ISNUMBER(M218),AND(M218=INT(M218),M218&gt;=1,M218&lt;=3),FALSE)+IF(ISNUMBER(N218),AND(N218=INT(N218),N218&gt;=1,N218&lt;=3),FALSE)+IF(ISNUMBER(O218),AND(O218=INT(O218),O218&gt;=1,O218&lt;=3),FALSE))</f>
        <v/>
      </c>
      <c r="Q218" s="38">
        <f>IF(P218=5,SUM(K218:O218),"")</f>
        <v/>
      </c>
      <c r="R218" s="38">
        <f>IF(P218="","",IF(P218&lt;5,"Pendente",IF(NOT(cad_limites_ok),"Pendente",IF(K218=3,"A",IF(Q218&gt;=cad_limite_a,"A",IF(Q218&gt;=cad_limite_b,"B","C"))))))</f>
        <v/>
      </c>
      <c r="S218" s="40">
        <f>IF(P218="","",IF(A218="","Pendente: falta o ID do ativo",IF(COUNTIF(at_id,A218)&gt;1,"ERRO: ID do ativo duplicado",IF(COUNTA(K218:O218)&gt;P218,"Pendente: nota inválida (use inteiro de 1 a 3)",IF(P218&lt;5,"Pendente: falta(m) "&amp;(5-P218)&amp;" nota(s)",IF(NOT(cad_limites_ok),"Pendente: corrija os limites A/B em Critérios",IF(K218=3,"A por Segurança = 3","Classe pela soma e limites")))))))</f>
        <v/>
      </c>
    </row>
    <row r="219">
      <c r="A219" s="36" t="n"/>
      <c r="B219" s="36" t="n"/>
      <c r="C219" s="37" t="n"/>
      <c r="D219" s="36" t="n"/>
      <c r="E219" s="38">
        <f>IF(D219="","",IFERROR(INDEX(lst_tipo_nome,MATCH(D219,lst_tipo_id,0)),"Tipo não cadastrado em Listas"))</f>
        <v/>
      </c>
      <c r="F219" s="36" t="n"/>
      <c r="G219" s="36" t="n"/>
      <c r="H219" s="36" t="n"/>
      <c r="I219" s="39" t="n"/>
      <c r="J219" s="38">
        <f>IF(OR(B219="",D219="",H219="",I219=""),"",IF(B219=H219&amp;"-"&amp;IFERROR(INDEX(lst_tipo_sigla,MATCH(D219,lst_tipo_id,0)),"???")&amp;"-"&amp;RIGHT("00"&amp;I219,3),"OK","Verificar: TAG difere de setor-sigla-número"))</f>
        <v/>
      </c>
      <c r="K219" s="39" t="n"/>
      <c r="L219" s="39" t="n"/>
      <c r="M219" s="39" t="n"/>
      <c r="N219" s="39" t="n"/>
      <c r="O219" s="39" t="n"/>
      <c r="P219" s="38">
        <f>IF(COUNTA(A219:D219)+COUNTA(F219:I219)+COUNTA(K219:O219)=0,"",IF(ISNUMBER(K219),AND(K219=INT(K219),K219&gt;=1,K219&lt;=3),FALSE)+IF(ISNUMBER(L219),AND(L219=INT(L219),L219&gt;=1,L219&lt;=3),FALSE)+IF(ISNUMBER(M219),AND(M219=INT(M219),M219&gt;=1,M219&lt;=3),FALSE)+IF(ISNUMBER(N219),AND(N219=INT(N219),N219&gt;=1,N219&lt;=3),FALSE)+IF(ISNUMBER(O219),AND(O219=INT(O219),O219&gt;=1,O219&lt;=3),FALSE))</f>
        <v/>
      </c>
      <c r="Q219" s="38">
        <f>IF(P219=5,SUM(K219:O219),"")</f>
        <v/>
      </c>
      <c r="R219" s="38">
        <f>IF(P219="","",IF(P219&lt;5,"Pendente",IF(NOT(cad_limites_ok),"Pendente",IF(K219=3,"A",IF(Q219&gt;=cad_limite_a,"A",IF(Q219&gt;=cad_limite_b,"B","C"))))))</f>
        <v/>
      </c>
      <c r="S219" s="40">
        <f>IF(P219="","",IF(A219="","Pendente: falta o ID do ativo",IF(COUNTIF(at_id,A219)&gt;1,"ERRO: ID do ativo duplicado",IF(COUNTA(K219:O219)&gt;P219,"Pendente: nota inválida (use inteiro de 1 a 3)",IF(P219&lt;5,"Pendente: falta(m) "&amp;(5-P219)&amp;" nota(s)",IF(NOT(cad_limites_ok),"Pendente: corrija os limites A/B em Critérios",IF(K219=3,"A por Segurança = 3","Classe pela soma e limites")))))))</f>
        <v/>
      </c>
    </row>
    <row r="220">
      <c r="A220" s="36" t="n"/>
      <c r="B220" s="36" t="n"/>
      <c r="C220" s="37" t="n"/>
      <c r="D220" s="36" t="n"/>
      <c r="E220" s="38">
        <f>IF(D220="","",IFERROR(INDEX(lst_tipo_nome,MATCH(D220,lst_tipo_id,0)),"Tipo não cadastrado em Listas"))</f>
        <v/>
      </c>
      <c r="F220" s="36" t="n"/>
      <c r="G220" s="36" t="n"/>
      <c r="H220" s="36" t="n"/>
      <c r="I220" s="39" t="n"/>
      <c r="J220" s="38">
        <f>IF(OR(B220="",D220="",H220="",I220=""),"",IF(B220=H220&amp;"-"&amp;IFERROR(INDEX(lst_tipo_sigla,MATCH(D220,lst_tipo_id,0)),"???")&amp;"-"&amp;RIGHT("00"&amp;I220,3),"OK","Verificar: TAG difere de setor-sigla-número"))</f>
        <v/>
      </c>
      <c r="K220" s="39" t="n"/>
      <c r="L220" s="39" t="n"/>
      <c r="M220" s="39" t="n"/>
      <c r="N220" s="39" t="n"/>
      <c r="O220" s="39" t="n"/>
      <c r="P220" s="38">
        <f>IF(COUNTA(A220:D220)+COUNTA(F220:I220)+COUNTA(K220:O220)=0,"",IF(ISNUMBER(K220),AND(K220=INT(K220),K220&gt;=1,K220&lt;=3),FALSE)+IF(ISNUMBER(L220),AND(L220=INT(L220),L220&gt;=1,L220&lt;=3),FALSE)+IF(ISNUMBER(M220),AND(M220=INT(M220),M220&gt;=1,M220&lt;=3),FALSE)+IF(ISNUMBER(N220),AND(N220=INT(N220),N220&gt;=1,N220&lt;=3),FALSE)+IF(ISNUMBER(O220),AND(O220=INT(O220),O220&gt;=1,O220&lt;=3),FALSE))</f>
        <v/>
      </c>
      <c r="Q220" s="38">
        <f>IF(P220=5,SUM(K220:O220),"")</f>
        <v/>
      </c>
      <c r="R220" s="38">
        <f>IF(P220="","",IF(P220&lt;5,"Pendente",IF(NOT(cad_limites_ok),"Pendente",IF(K220=3,"A",IF(Q220&gt;=cad_limite_a,"A",IF(Q220&gt;=cad_limite_b,"B","C"))))))</f>
        <v/>
      </c>
      <c r="S220" s="40">
        <f>IF(P220="","",IF(A220="","Pendente: falta o ID do ativo",IF(COUNTIF(at_id,A220)&gt;1,"ERRO: ID do ativo duplicado",IF(COUNTA(K220:O220)&gt;P220,"Pendente: nota inválida (use inteiro de 1 a 3)",IF(P220&lt;5,"Pendente: falta(m) "&amp;(5-P220)&amp;" nota(s)",IF(NOT(cad_limites_ok),"Pendente: corrija os limites A/B em Critérios",IF(K220=3,"A por Segurança = 3","Classe pela soma e limites")))))))</f>
        <v/>
      </c>
    </row>
    <row r="221">
      <c r="A221" s="36" t="n"/>
      <c r="B221" s="36" t="n"/>
      <c r="C221" s="37" t="n"/>
      <c r="D221" s="36" t="n"/>
      <c r="E221" s="38">
        <f>IF(D221="","",IFERROR(INDEX(lst_tipo_nome,MATCH(D221,lst_tipo_id,0)),"Tipo não cadastrado em Listas"))</f>
        <v/>
      </c>
      <c r="F221" s="36" t="n"/>
      <c r="G221" s="36" t="n"/>
      <c r="H221" s="36" t="n"/>
      <c r="I221" s="39" t="n"/>
      <c r="J221" s="38">
        <f>IF(OR(B221="",D221="",H221="",I221=""),"",IF(B221=H221&amp;"-"&amp;IFERROR(INDEX(lst_tipo_sigla,MATCH(D221,lst_tipo_id,0)),"???")&amp;"-"&amp;RIGHT("00"&amp;I221,3),"OK","Verificar: TAG difere de setor-sigla-número"))</f>
        <v/>
      </c>
      <c r="K221" s="39" t="n"/>
      <c r="L221" s="39" t="n"/>
      <c r="M221" s="39" t="n"/>
      <c r="N221" s="39" t="n"/>
      <c r="O221" s="39" t="n"/>
      <c r="P221" s="38">
        <f>IF(COUNTA(A221:D221)+COUNTA(F221:I221)+COUNTA(K221:O221)=0,"",IF(ISNUMBER(K221),AND(K221=INT(K221),K221&gt;=1,K221&lt;=3),FALSE)+IF(ISNUMBER(L221),AND(L221=INT(L221),L221&gt;=1,L221&lt;=3),FALSE)+IF(ISNUMBER(M221),AND(M221=INT(M221),M221&gt;=1,M221&lt;=3),FALSE)+IF(ISNUMBER(N221),AND(N221=INT(N221),N221&gt;=1,N221&lt;=3),FALSE)+IF(ISNUMBER(O221),AND(O221=INT(O221),O221&gt;=1,O221&lt;=3),FALSE))</f>
        <v/>
      </c>
      <c r="Q221" s="38">
        <f>IF(P221=5,SUM(K221:O221),"")</f>
        <v/>
      </c>
      <c r="R221" s="38">
        <f>IF(P221="","",IF(P221&lt;5,"Pendente",IF(NOT(cad_limites_ok),"Pendente",IF(K221=3,"A",IF(Q221&gt;=cad_limite_a,"A",IF(Q221&gt;=cad_limite_b,"B","C"))))))</f>
        <v/>
      </c>
      <c r="S221" s="40">
        <f>IF(P221="","",IF(A221="","Pendente: falta o ID do ativo",IF(COUNTIF(at_id,A221)&gt;1,"ERRO: ID do ativo duplicado",IF(COUNTA(K221:O221)&gt;P221,"Pendente: nota inválida (use inteiro de 1 a 3)",IF(P221&lt;5,"Pendente: falta(m) "&amp;(5-P221)&amp;" nota(s)",IF(NOT(cad_limites_ok),"Pendente: corrija os limites A/B em Critérios",IF(K221=3,"A por Segurança = 3","Classe pela soma e limites")))))))</f>
        <v/>
      </c>
    </row>
    <row r="222">
      <c r="A222" s="36" t="n"/>
      <c r="B222" s="36" t="n"/>
      <c r="C222" s="37" t="n"/>
      <c r="D222" s="36" t="n"/>
      <c r="E222" s="38">
        <f>IF(D222="","",IFERROR(INDEX(lst_tipo_nome,MATCH(D222,lst_tipo_id,0)),"Tipo não cadastrado em Listas"))</f>
        <v/>
      </c>
      <c r="F222" s="36" t="n"/>
      <c r="G222" s="36" t="n"/>
      <c r="H222" s="36" t="n"/>
      <c r="I222" s="39" t="n"/>
      <c r="J222" s="38">
        <f>IF(OR(B222="",D222="",H222="",I222=""),"",IF(B222=H222&amp;"-"&amp;IFERROR(INDEX(lst_tipo_sigla,MATCH(D222,lst_tipo_id,0)),"???")&amp;"-"&amp;RIGHT("00"&amp;I222,3),"OK","Verificar: TAG difere de setor-sigla-número"))</f>
        <v/>
      </c>
      <c r="K222" s="39" t="n"/>
      <c r="L222" s="39" t="n"/>
      <c r="M222" s="39" t="n"/>
      <c r="N222" s="39" t="n"/>
      <c r="O222" s="39" t="n"/>
      <c r="P222" s="38">
        <f>IF(COUNTA(A222:D222)+COUNTA(F222:I222)+COUNTA(K222:O222)=0,"",IF(ISNUMBER(K222),AND(K222=INT(K222),K222&gt;=1,K222&lt;=3),FALSE)+IF(ISNUMBER(L222),AND(L222=INT(L222),L222&gt;=1,L222&lt;=3),FALSE)+IF(ISNUMBER(M222),AND(M222=INT(M222),M222&gt;=1,M222&lt;=3),FALSE)+IF(ISNUMBER(N222),AND(N222=INT(N222),N222&gt;=1,N222&lt;=3),FALSE)+IF(ISNUMBER(O222),AND(O222=INT(O222),O222&gt;=1,O222&lt;=3),FALSE))</f>
        <v/>
      </c>
      <c r="Q222" s="38">
        <f>IF(P222=5,SUM(K222:O222),"")</f>
        <v/>
      </c>
      <c r="R222" s="38">
        <f>IF(P222="","",IF(P222&lt;5,"Pendente",IF(NOT(cad_limites_ok),"Pendente",IF(K222=3,"A",IF(Q222&gt;=cad_limite_a,"A",IF(Q222&gt;=cad_limite_b,"B","C"))))))</f>
        <v/>
      </c>
      <c r="S222" s="40">
        <f>IF(P222="","",IF(A222="","Pendente: falta o ID do ativo",IF(COUNTIF(at_id,A222)&gt;1,"ERRO: ID do ativo duplicado",IF(COUNTA(K222:O222)&gt;P222,"Pendente: nota inválida (use inteiro de 1 a 3)",IF(P222&lt;5,"Pendente: falta(m) "&amp;(5-P222)&amp;" nota(s)",IF(NOT(cad_limites_ok),"Pendente: corrija os limites A/B em Critérios",IF(K222=3,"A por Segurança = 3","Classe pela soma e limites")))))))</f>
        <v/>
      </c>
    </row>
    <row r="223">
      <c r="A223" s="36" t="n"/>
      <c r="B223" s="36" t="n"/>
      <c r="C223" s="37" t="n"/>
      <c r="D223" s="36" t="n"/>
      <c r="E223" s="38">
        <f>IF(D223="","",IFERROR(INDEX(lst_tipo_nome,MATCH(D223,lst_tipo_id,0)),"Tipo não cadastrado em Listas"))</f>
        <v/>
      </c>
      <c r="F223" s="36" t="n"/>
      <c r="G223" s="36" t="n"/>
      <c r="H223" s="36" t="n"/>
      <c r="I223" s="39" t="n"/>
      <c r="J223" s="38">
        <f>IF(OR(B223="",D223="",H223="",I223=""),"",IF(B223=H223&amp;"-"&amp;IFERROR(INDEX(lst_tipo_sigla,MATCH(D223,lst_tipo_id,0)),"???")&amp;"-"&amp;RIGHT("00"&amp;I223,3),"OK","Verificar: TAG difere de setor-sigla-número"))</f>
        <v/>
      </c>
      <c r="K223" s="39" t="n"/>
      <c r="L223" s="39" t="n"/>
      <c r="M223" s="39" t="n"/>
      <c r="N223" s="39" t="n"/>
      <c r="O223" s="39" t="n"/>
      <c r="P223" s="38">
        <f>IF(COUNTA(A223:D223)+COUNTA(F223:I223)+COUNTA(K223:O223)=0,"",IF(ISNUMBER(K223),AND(K223=INT(K223),K223&gt;=1,K223&lt;=3),FALSE)+IF(ISNUMBER(L223),AND(L223=INT(L223),L223&gt;=1,L223&lt;=3),FALSE)+IF(ISNUMBER(M223),AND(M223=INT(M223),M223&gt;=1,M223&lt;=3),FALSE)+IF(ISNUMBER(N223),AND(N223=INT(N223),N223&gt;=1,N223&lt;=3),FALSE)+IF(ISNUMBER(O223),AND(O223=INT(O223),O223&gt;=1,O223&lt;=3),FALSE))</f>
        <v/>
      </c>
      <c r="Q223" s="38">
        <f>IF(P223=5,SUM(K223:O223),"")</f>
        <v/>
      </c>
      <c r="R223" s="38">
        <f>IF(P223="","",IF(P223&lt;5,"Pendente",IF(NOT(cad_limites_ok),"Pendente",IF(K223=3,"A",IF(Q223&gt;=cad_limite_a,"A",IF(Q223&gt;=cad_limite_b,"B","C"))))))</f>
        <v/>
      </c>
      <c r="S223" s="40">
        <f>IF(P223="","",IF(A223="","Pendente: falta o ID do ativo",IF(COUNTIF(at_id,A223)&gt;1,"ERRO: ID do ativo duplicado",IF(COUNTA(K223:O223)&gt;P223,"Pendente: nota inválida (use inteiro de 1 a 3)",IF(P223&lt;5,"Pendente: falta(m) "&amp;(5-P223)&amp;" nota(s)",IF(NOT(cad_limites_ok),"Pendente: corrija os limites A/B em Critérios",IF(K223=3,"A por Segurança = 3","Classe pela soma e limites")))))))</f>
        <v/>
      </c>
    </row>
    <row r="224">
      <c r="A224" s="36" t="n"/>
      <c r="B224" s="36" t="n"/>
      <c r="C224" s="37" t="n"/>
      <c r="D224" s="36" t="n"/>
      <c r="E224" s="38">
        <f>IF(D224="","",IFERROR(INDEX(lst_tipo_nome,MATCH(D224,lst_tipo_id,0)),"Tipo não cadastrado em Listas"))</f>
        <v/>
      </c>
      <c r="F224" s="36" t="n"/>
      <c r="G224" s="36" t="n"/>
      <c r="H224" s="36" t="n"/>
      <c r="I224" s="39" t="n"/>
      <c r="J224" s="38">
        <f>IF(OR(B224="",D224="",H224="",I224=""),"",IF(B224=H224&amp;"-"&amp;IFERROR(INDEX(lst_tipo_sigla,MATCH(D224,lst_tipo_id,0)),"???")&amp;"-"&amp;RIGHT("00"&amp;I224,3),"OK","Verificar: TAG difere de setor-sigla-número"))</f>
        <v/>
      </c>
      <c r="K224" s="39" t="n"/>
      <c r="L224" s="39" t="n"/>
      <c r="M224" s="39" t="n"/>
      <c r="N224" s="39" t="n"/>
      <c r="O224" s="39" t="n"/>
      <c r="P224" s="38">
        <f>IF(COUNTA(A224:D224)+COUNTA(F224:I224)+COUNTA(K224:O224)=0,"",IF(ISNUMBER(K224),AND(K224=INT(K224),K224&gt;=1,K224&lt;=3),FALSE)+IF(ISNUMBER(L224),AND(L224=INT(L224),L224&gt;=1,L224&lt;=3),FALSE)+IF(ISNUMBER(M224),AND(M224=INT(M224),M224&gt;=1,M224&lt;=3),FALSE)+IF(ISNUMBER(N224),AND(N224=INT(N224),N224&gt;=1,N224&lt;=3),FALSE)+IF(ISNUMBER(O224),AND(O224=INT(O224),O224&gt;=1,O224&lt;=3),FALSE))</f>
        <v/>
      </c>
      <c r="Q224" s="38">
        <f>IF(P224=5,SUM(K224:O224),"")</f>
        <v/>
      </c>
      <c r="R224" s="38">
        <f>IF(P224="","",IF(P224&lt;5,"Pendente",IF(NOT(cad_limites_ok),"Pendente",IF(K224=3,"A",IF(Q224&gt;=cad_limite_a,"A",IF(Q224&gt;=cad_limite_b,"B","C"))))))</f>
        <v/>
      </c>
      <c r="S224" s="40">
        <f>IF(P224="","",IF(A224="","Pendente: falta o ID do ativo",IF(COUNTIF(at_id,A224)&gt;1,"ERRO: ID do ativo duplicado",IF(COUNTA(K224:O224)&gt;P224,"Pendente: nota inválida (use inteiro de 1 a 3)",IF(P224&lt;5,"Pendente: falta(m) "&amp;(5-P224)&amp;" nota(s)",IF(NOT(cad_limites_ok),"Pendente: corrija os limites A/B em Critérios",IF(K224=3,"A por Segurança = 3","Classe pela soma e limites")))))))</f>
        <v/>
      </c>
    </row>
    <row r="225">
      <c r="A225" s="36" t="n"/>
      <c r="B225" s="36" t="n"/>
      <c r="C225" s="37" t="n"/>
      <c r="D225" s="36" t="n"/>
      <c r="E225" s="38">
        <f>IF(D225="","",IFERROR(INDEX(lst_tipo_nome,MATCH(D225,lst_tipo_id,0)),"Tipo não cadastrado em Listas"))</f>
        <v/>
      </c>
      <c r="F225" s="36" t="n"/>
      <c r="G225" s="36" t="n"/>
      <c r="H225" s="36" t="n"/>
      <c r="I225" s="39" t="n"/>
      <c r="J225" s="38">
        <f>IF(OR(B225="",D225="",H225="",I225=""),"",IF(B225=H225&amp;"-"&amp;IFERROR(INDEX(lst_tipo_sigla,MATCH(D225,lst_tipo_id,0)),"???")&amp;"-"&amp;RIGHT("00"&amp;I225,3),"OK","Verificar: TAG difere de setor-sigla-número"))</f>
        <v/>
      </c>
      <c r="K225" s="39" t="n"/>
      <c r="L225" s="39" t="n"/>
      <c r="M225" s="39" t="n"/>
      <c r="N225" s="39" t="n"/>
      <c r="O225" s="39" t="n"/>
      <c r="P225" s="38">
        <f>IF(COUNTA(A225:D225)+COUNTA(F225:I225)+COUNTA(K225:O225)=0,"",IF(ISNUMBER(K225),AND(K225=INT(K225),K225&gt;=1,K225&lt;=3),FALSE)+IF(ISNUMBER(L225),AND(L225=INT(L225),L225&gt;=1,L225&lt;=3),FALSE)+IF(ISNUMBER(M225),AND(M225=INT(M225),M225&gt;=1,M225&lt;=3),FALSE)+IF(ISNUMBER(N225),AND(N225=INT(N225),N225&gt;=1,N225&lt;=3),FALSE)+IF(ISNUMBER(O225),AND(O225=INT(O225),O225&gt;=1,O225&lt;=3),FALSE))</f>
        <v/>
      </c>
      <c r="Q225" s="38">
        <f>IF(P225=5,SUM(K225:O225),"")</f>
        <v/>
      </c>
      <c r="R225" s="38">
        <f>IF(P225="","",IF(P225&lt;5,"Pendente",IF(NOT(cad_limites_ok),"Pendente",IF(K225=3,"A",IF(Q225&gt;=cad_limite_a,"A",IF(Q225&gt;=cad_limite_b,"B","C"))))))</f>
        <v/>
      </c>
      <c r="S225" s="40">
        <f>IF(P225="","",IF(A225="","Pendente: falta o ID do ativo",IF(COUNTIF(at_id,A225)&gt;1,"ERRO: ID do ativo duplicado",IF(COUNTA(K225:O225)&gt;P225,"Pendente: nota inválida (use inteiro de 1 a 3)",IF(P225&lt;5,"Pendente: falta(m) "&amp;(5-P225)&amp;" nota(s)",IF(NOT(cad_limites_ok),"Pendente: corrija os limites A/B em Critérios",IF(K225=3,"A por Segurança = 3","Classe pela soma e limites")))))))</f>
        <v/>
      </c>
    </row>
    <row r="226">
      <c r="A226" s="36" t="n"/>
      <c r="B226" s="36" t="n"/>
      <c r="C226" s="37" t="n"/>
      <c r="D226" s="36" t="n"/>
      <c r="E226" s="38">
        <f>IF(D226="","",IFERROR(INDEX(lst_tipo_nome,MATCH(D226,lst_tipo_id,0)),"Tipo não cadastrado em Listas"))</f>
        <v/>
      </c>
      <c r="F226" s="36" t="n"/>
      <c r="G226" s="36" t="n"/>
      <c r="H226" s="36" t="n"/>
      <c r="I226" s="39" t="n"/>
      <c r="J226" s="38">
        <f>IF(OR(B226="",D226="",H226="",I226=""),"",IF(B226=H226&amp;"-"&amp;IFERROR(INDEX(lst_tipo_sigla,MATCH(D226,lst_tipo_id,0)),"???")&amp;"-"&amp;RIGHT("00"&amp;I226,3),"OK","Verificar: TAG difere de setor-sigla-número"))</f>
        <v/>
      </c>
      <c r="K226" s="39" t="n"/>
      <c r="L226" s="39" t="n"/>
      <c r="M226" s="39" t="n"/>
      <c r="N226" s="39" t="n"/>
      <c r="O226" s="39" t="n"/>
      <c r="P226" s="38">
        <f>IF(COUNTA(A226:D226)+COUNTA(F226:I226)+COUNTA(K226:O226)=0,"",IF(ISNUMBER(K226),AND(K226=INT(K226),K226&gt;=1,K226&lt;=3),FALSE)+IF(ISNUMBER(L226),AND(L226=INT(L226),L226&gt;=1,L226&lt;=3),FALSE)+IF(ISNUMBER(M226),AND(M226=INT(M226),M226&gt;=1,M226&lt;=3),FALSE)+IF(ISNUMBER(N226),AND(N226=INT(N226),N226&gt;=1,N226&lt;=3),FALSE)+IF(ISNUMBER(O226),AND(O226=INT(O226),O226&gt;=1,O226&lt;=3),FALSE))</f>
        <v/>
      </c>
      <c r="Q226" s="38">
        <f>IF(P226=5,SUM(K226:O226),"")</f>
        <v/>
      </c>
      <c r="R226" s="38">
        <f>IF(P226="","",IF(P226&lt;5,"Pendente",IF(NOT(cad_limites_ok),"Pendente",IF(K226=3,"A",IF(Q226&gt;=cad_limite_a,"A",IF(Q226&gt;=cad_limite_b,"B","C"))))))</f>
        <v/>
      </c>
      <c r="S226" s="40">
        <f>IF(P226="","",IF(A226="","Pendente: falta o ID do ativo",IF(COUNTIF(at_id,A226)&gt;1,"ERRO: ID do ativo duplicado",IF(COUNTA(K226:O226)&gt;P226,"Pendente: nota inválida (use inteiro de 1 a 3)",IF(P226&lt;5,"Pendente: falta(m) "&amp;(5-P226)&amp;" nota(s)",IF(NOT(cad_limites_ok),"Pendente: corrija os limites A/B em Critérios",IF(K226=3,"A por Segurança = 3","Classe pela soma e limites")))))))</f>
        <v/>
      </c>
    </row>
    <row r="227">
      <c r="A227" s="36" t="n"/>
      <c r="B227" s="36" t="n"/>
      <c r="C227" s="37" t="n"/>
      <c r="D227" s="36" t="n"/>
      <c r="E227" s="38">
        <f>IF(D227="","",IFERROR(INDEX(lst_tipo_nome,MATCH(D227,lst_tipo_id,0)),"Tipo não cadastrado em Listas"))</f>
        <v/>
      </c>
      <c r="F227" s="36" t="n"/>
      <c r="G227" s="36" t="n"/>
      <c r="H227" s="36" t="n"/>
      <c r="I227" s="39" t="n"/>
      <c r="J227" s="38">
        <f>IF(OR(B227="",D227="",H227="",I227=""),"",IF(B227=H227&amp;"-"&amp;IFERROR(INDEX(lst_tipo_sigla,MATCH(D227,lst_tipo_id,0)),"???")&amp;"-"&amp;RIGHT("00"&amp;I227,3),"OK","Verificar: TAG difere de setor-sigla-número"))</f>
        <v/>
      </c>
      <c r="K227" s="39" t="n"/>
      <c r="L227" s="39" t="n"/>
      <c r="M227" s="39" t="n"/>
      <c r="N227" s="39" t="n"/>
      <c r="O227" s="39" t="n"/>
      <c r="P227" s="38">
        <f>IF(COUNTA(A227:D227)+COUNTA(F227:I227)+COUNTA(K227:O227)=0,"",IF(ISNUMBER(K227),AND(K227=INT(K227),K227&gt;=1,K227&lt;=3),FALSE)+IF(ISNUMBER(L227),AND(L227=INT(L227),L227&gt;=1,L227&lt;=3),FALSE)+IF(ISNUMBER(M227),AND(M227=INT(M227),M227&gt;=1,M227&lt;=3),FALSE)+IF(ISNUMBER(N227),AND(N227=INT(N227),N227&gt;=1,N227&lt;=3),FALSE)+IF(ISNUMBER(O227),AND(O227=INT(O227),O227&gt;=1,O227&lt;=3),FALSE))</f>
        <v/>
      </c>
      <c r="Q227" s="38">
        <f>IF(P227=5,SUM(K227:O227),"")</f>
        <v/>
      </c>
      <c r="R227" s="38">
        <f>IF(P227="","",IF(P227&lt;5,"Pendente",IF(NOT(cad_limites_ok),"Pendente",IF(K227=3,"A",IF(Q227&gt;=cad_limite_a,"A",IF(Q227&gt;=cad_limite_b,"B","C"))))))</f>
        <v/>
      </c>
      <c r="S227" s="40">
        <f>IF(P227="","",IF(A227="","Pendente: falta o ID do ativo",IF(COUNTIF(at_id,A227)&gt;1,"ERRO: ID do ativo duplicado",IF(COUNTA(K227:O227)&gt;P227,"Pendente: nota inválida (use inteiro de 1 a 3)",IF(P227&lt;5,"Pendente: falta(m) "&amp;(5-P227)&amp;" nota(s)",IF(NOT(cad_limites_ok),"Pendente: corrija os limites A/B em Critérios",IF(K227=3,"A por Segurança = 3","Classe pela soma e limites")))))))</f>
        <v/>
      </c>
    </row>
    <row r="228">
      <c r="A228" s="36" t="n"/>
      <c r="B228" s="36" t="n"/>
      <c r="C228" s="37" t="n"/>
      <c r="D228" s="36" t="n"/>
      <c r="E228" s="38">
        <f>IF(D228="","",IFERROR(INDEX(lst_tipo_nome,MATCH(D228,lst_tipo_id,0)),"Tipo não cadastrado em Listas"))</f>
        <v/>
      </c>
      <c r="F228" s="36" t="n"/>
      <c r="G228" s="36" t="n"/>
      <c r="H228" s="36" t="n"/>
      <c r="I228" s="39" t="n"/>
      <c r="J228" s="38">
        <f>IF(OR(B228="",D228="",H228="",I228=""),"",IF(B228=H228&amp;"-"&amp;IFERROR(INDEX(lst_tipo_sigla,MATCH(D228,lst_tipo_id,0)),"???")&amp;"-"&amp;RIGHT("00"&amp;I228,3),"OK","Verificar: TAG difere de setor-sigla-número"))</f>
        <v/>
      </c>
      <c r="K228" s="39" t="n"/>
      <c r="L228" s="39" t="n"/>
      <c r="M228" s="39" t="n"/>
      <c r="N228" s="39" t="n"/>
      <c r="O228" s="39" t="n"/>
      <c r="P228" s="38">
        <f>IF(COUNTA(A228:D228)+COUNTA(F228:I228)+COUNTA(K228:O228)=0,"",IF(ISNUMBER(K228),AND(K228=INT(K228),K228&gt;=1,K228&lt;=3),FALSE)+IF(ISNUMBER(L228),AND(L228=INT(L228),L228&gt;=1,L228&lt;=3),FALSE)+IF(ISNUMBER(M228),AND(M228=INT(M228),M228&gt;=1,M228&lt;=3),FALSE)+IF(ISNUMBER(N228),AND(N228=INT(N228),N228&gt;=1,N228&lt;=3),FALSE)+IF(ISNUMBER(O228),AND(O228=INT(O228),O228&gt;=1,O228&lt;=3),FALSE))</f>
        <v/>
      </c>
      <c r="Q228" s="38">
        <f>IF(P228=5,SUM(K228:O228),"")</f>
        <v/>
      </c>
      <c r="R228" s="38">
        <f>IF(P228="","",IF(P228&lt;5,"Pendente",IF(NOT(cad_limites_ok),"Pendente",IF(K228=3,"A",IF(Q228&gt;=cad_limite_a,"A",IF(Q228&gt;=cad_limite_b,"B","C"))))))</f>
        <v/>
      </c>
      <c r="S228" s="40">
        <f>IF(P228="","",IF(A228="","Pendente: falta o ID do ativo",IF(COUNTIF(at_id,A228)&gt;1,"ERRO: ID do ativo duplicado",IF(COUNTA(K228:O228)&gt;P228,"Pendente: nota inválida (use inteiro de 1 a 3)",IF(P228&lt;5,"Pendente: falta(m) "&amp;(5-P228)&amp;" nota(s)",IF(NOT(cad_limites_ok),"Pendente: corrija os limites A/B em Critérios",IF(K228=3,"A por Segurança = 3","Classe pela soma e limites")))))))</f>
        <v/>
      </c>
    </row>
    <row r="229">
      <c r="A229" s="36" t="n"/>
      <c r="B229" s="36" t="n"/>
      <c r="C229" s="37" t="n"/>
      <c r="D229" s="36" t="n"/>
      <c r="E229" s="38">
        <f>IF(D229="","",IFERROR(INDEX(lst_tipo_nome,MATCH(D229,lst_tipo_id,0)),"Tipo não cadastrado em Listas"))</f>
        <v/>
      </c>
      <c r="F229" s="36" t="n"/>
      <c r="G229" s="36" t="n"/>
      <c r="H229" s="36" t="n"/>
      <c r="I229" s="39" t="n"/>
      <c r="J229" s="38">
        <f>IF(OR(B229="",D229="",H229="",I229=""),"",IF(B229=H229&amp;"-"&amp;IFERROR(INDEX(lst_tipo_sigla,MATCH(D229,lst_tipo_id,0)),"???")&amp;"-"&amp;RIGHT("00"&amp;I229,3),"OK","Verificar: TAG difere de setor-sigla-número"))</f>
        <v/>
      </c>
      <c r="K229" s="39" t="n"/>
      <c r="L229" s="39" t="n"/>
      <c r="M229" s="39" t="n"/>
      <c r="N229" s="39" t="n"/>
      <c r="O229" s="39" t="n"/>
      <c r="P229" s="38">
        <f>IF(COUNTA(A229:D229)+COUNTA(F229:I229)+COUNTA(K229:O229)=0,"",IF(ISNUMBER(K229),AND(K229=INT(K229),K229&gt;=1,K229&lt;=3),FALSE)+IF(ISNUMBER(L229),AND(L229=INT(L229),L229&gt;=1,L229&lt;=3),FALSE)+IF(ISNUMBER(M229),AND(M229=INT(M229),M229&gt;=1,M229&lt;=3),FALSE)+IF(ISNUMBER(N229),AND(N229=INT(N229),N229&gt;=1,N229&lt;=3),FALSE)+IF(ISNUMBER(O229),AND(O229=INT(O229),O229&gt;=1,O229&lt;=3),FALSE))</f>
        <v/>
      </c>
      <c r="Q229" s="38">
        <f>IF(P229=5,SUM(K229:O229),"")</f>
        <v/>
      </c>
      <c r="R229" s="38">
        <f>IF(P229="","",IF(P229&lt;5,"Pendente",IF(NOT(cad_limites_ok),"Pendente",IF(K229=3,"A",IF(Q229&gt;=cad_limite_a,"A",IF(Q229&gt;=cad_limite_b,"B","C"))))))</f>
        <v/>
      </c>
      <c r="S229" s="40">
        <f>IF(P229="","",IF(A229="","Pendente: falta o ID do ativo",IF(COUNTIF(at_id,A229)&gt;1,"ERRO: ID do ativo duplicado",IF(COUNTA(K229:O229)&gt;P229,"Pendente: nota inválida (use inteiro de 1 a 3)",IF(P229&lt;5,"Pendente: falta(m) "&amp;(5-P229)&amp;" nota(s)",IF(NOT(cad_limites_ok),"Pendente: corrija os limites A/B em Critérios",IF(K229=3,"A por Segurança = 3","Classe pela soma e limites")))))))</f>
        <v/>
      </c>
    </row>
    <row r="230">
      <c r="A230" s="36" t="n"/>
      <c r="B230" s="36" t="n"/>
      <c r="C230" s="37" t="n"/>
      <c r="D230" s="36" t="n"/>
      <c r="E230" s="38">
        <f>IF(D230="","",IFERROR(INDEX(lst_tipo_nome,MATCH(D230,lst_tipo_id,0)),"Tipo não cadastrado em Listas"))</f>
        <v/>
      </c>
      <c r="F230" s="36" t="n"/>
      <c r="G230" s="36" t="n"/>
      <c r="H230" s="36" t="n"/>
      <c r="I230" s="39" t="n"/>
      <c r="J230" s="38">
        <f>IF(OR(B230="",D230="",H230="",I230=""),"",IF(B230=H230&amp;"-"&amp;IFERROR(INDEX(lst_tipo_sigla,MATCH(D230,lst_tipo_id,0)),"???")&amp;"-"&amp;RIGHT("00"&amp;I230,3),"OK","Verificar: TAG difere de setor-sigla-número"))</f>
        <v/>
      </c>
      <c r="K230" s="39" t="n"/>
      <c r="L230" s="39" t="n"/>
      <c r="M230" s="39" t="n"/>
      <c r="N230" s="39" t="n"/>
      <c r="O230" s="39" t="n"/>
      <c r="P230" s="38">
        <f>IF(COUNTA(A230:D230)+COUNTA(F230:I230)+COUNTA(K230:O230)=0,"",IF(ISNUMBER(K230),AND(K230=INT(K230),K230&gt;=1,K230&lt;=3),FALSE)+IF(ISNUMBER(L230),AND(L230=INT(L230),L230&gt;=1,L230&lt;=3),FALSE)+IF(ISNUMBER(M230),AND(M230=INT(M230),M230&gt;=1,M230&lt;=3),FALSE)+IF(ISNUMBER(N230),AND(N230=INT(N230),N230&gt;=1,N230&lt;=3),FALSE)+IF(ISNUMBER(O230),AND(O230=INT(O230),O230&gt;=1,O230&lt;=3),FALSE))</f>
        <v/>
      </c>
      <c r="Q230" s="38">
        <f>IF(P230=5,SUM(K230:O230),"")</f>
        <v/>
      </c>
      <c r="R230" s="38">
        <f>IF(P230="","",IF(P230&lt;5,"Pendente",IF(NOT(cad_limites_ok),"Pendente",IF(K230=3,"A",IF(Q230&gt;=cad_limite_a,"A",IF(Q230&gt;=cad_limite_b,"B","C"))))))</f>
        <v/>
      </c>
      <c r="S230" s="40">
        <f>IF(P230="","",IF(A230="","Pendente: falta o ID do ativo",IF(COUNTIF(at_id,A230)&gt;1,"ERRO: ID do ativo duplicado",IF(COUNTA(K230:O230)&gt;P230,"Pendente: nota inválida (use inteiro de 1 a 3)",IF(P230&lt;5,"Pendente: falta(m) "&amp;(5-P230)&amp;" nota(s)",IF(NOT(cad_limites_ok),"Pendente: corrija os limites A/B em Critérios",IF(K230=3,"A por Segurança = 3","Classe pela soma e limites")))))))</f>
        <v/>
      </c>
    </row>
    <row r="231">
      <c r="A231" s="36" t="n"/>
      <c r="B231" s="36" t="n"/>
      <c r="C231" s="37" t="n"/>
      <c r="D231" s="36" t="n"/>
      <c r="E231" s="38">
        <f>IF(D231="","",IFERROR(INDEX(lst_tipo_nome,MATCH(D231,lst_tipo_id,0)),"Tipo não cadastrado em Listas"))</f>
        <v/>
      </c>
      <c r="F231" s="36" t="n"/>
      <c r="G231" s="36" t="n"/>
      <c r="H231" s="36" t="n"/>
      <c r="I231" s="39" t="n"/>
      <c r="J231" s="38">
        <f>IF(OR(B231="",D231="",H231="",I231=""),"",IF(B231=H231&amp;"-"&amp;IFERROR(INDEX(lst_tipo_sigla,MATCH(D231,lst_tipo_id,0)),"???")&amp;"-"&amp;RIGHT("00"&amp;I231,3),"OK","Verificar: TAG difere de setor-sigla-número"))</f>
        <v/>
      </c>
      <c r="K231" s="39" t="n"/>
      <c r="L231" s="39" t="n"/>
      <c r="M231" s="39" t="n"/>
      <c r="N231" s="39" t="n"/>
      <c r="O231" s="39" t="n"/>
      <c r="P231" s="38">
        <f>IF(COUNTA(A231:D231)+COUNTA(F231:I231)+COUNTA(K231:O231)=0,"",IF(ISNUMBER(K231),AND(K231=INT(K231),K231&gt;=1,K231&lt;=3),FALSE)+IF(ISNUMBER(L231),AND(L231=INT(L231),L231&gt;=1,L231&lt;=3),FALSE)+IF(ISNUMBER(M231),AND(M231=INT(M231),M231&gt;=1,M231&lt;=3),FALSE)+IF(ISNUMBER(N231),AND(N231=INT(N231),N231&gt;=1,N231&lt;=3),FALSE)+IF(ISNUMBER(O231),AND(O231=INT(O231),O231&gt;=1,O231&lt;=3),FALSE))</f>
        <v/>
      </c>
      <c r="Q231" s="38">
        <f>IF(P231=5,SUM(K231:O231),"")</f>
        <v/>
      </c>
      <c r="R231" s="38">
        <f>IF(P231="","",IF(P231&lt;5,"Pendente",IF(NOT(cad_limites_ok),"Pendente",IF(K231=3,"A",IF(Q231&gt;=cad_limite_a,"A",IF(Q231&gt;=cad_limite_b,"B","C"))))))</f>
        <v/>
      </c>
      <c r="S231" s="40">
        <f>IF(P231="","",IF(A231="","Pendente: falta o ID do ativo",IF(COUNTIF(at_id,A231)&gt;1,"ERRO: ID do ativo duplicado",IF(COUNTA(K231:O231)&gt;P231,"Pendente: nota inválida (use inteiro de 1 a 3)",IF(P231&lt;5,"Pendente: falta(m) "&amp;(5-P231)&amp;" nota(s)",IF(NOT(cad_limites_ok),"Pendente: corrija os limites A/B em Critérios",IF(K231=3,"A por Segurança = 3","Classe pela soma e limites")))))))</f>
        <v/>
      </c>
    </row>
    <row r="232">
      <c r="A232" s="36" t="n"/>
      <c r="B232" s="36" t="n"/>
      <c r="C232" s="37" t="n"/>
      <c r="D232" s="36" t="n"/>
      <c r="E232" s="38">
        <f>IF(D232="","",IFERROR(INDEX(lst_tipo_nome,MATCH(D232,lst_tipo_id,0)),"Tipo não cadastrado em Listas"))</f>
        <v/>
      </c>
      <c r="F232" s="36" t="n"/>
      <c r="G232" s="36" t="n"/>
      <c r="H232" s="36" t="n"/>
      <c r="I232" s="39" t="n"/>
      <c r="J232" s="38">
        <f>IF(OR(B232="",D232="",H232="",I232=""),"",IF(B232=H232&amp;"-"&amp;IFERROR(INDEX(lst_tipo_sigla,MATCH(D232,lst_tipo_id,0)),"???")&amp;"-"&amp;RIGHT("00"&amp;I232,3),"OK","Verificar: TAG difere de setor-sigla-número"))</f>
        <v/>
      </c>
      <c r="K232" s="39" t="n"/>
      <c r="L232" s="39" t="n"/>
      <c r="M232" s="39" t="n"/>
      <c r="N232" s="39" t="n"/>
      <c r="O232" s="39" t="n"/>
      <c r="P232" s="38">
        <f>IF(COUNTA(A232:D232)+COUNTA(F232:I232)+COUNTA(K232:O232)=0,"",IF(ISNUMBER(K232),AND(K232=INT(K232),K232&gt;=1,K232&lt;=3),FALSE)+IF(ISNUMBER(L232),AND(L232=INT(L232),L232&gt;=1,L232&lt;=3),FALSE)+IF(ISNUMBER(M232),AND(M232=INT(M232),M232&gt;=1,M232&lt;=3),FALSE)+IF(ISNUMBER(N232),AND(N232=INT(N232),N232&gt;=1,N232&lt;=3),FALSE)+IF(ISNUMBER(O232),AND(O232=INT(O232),O232&gt;=1,O232&lt;=3),FALSE))</f>
        <v/>
      </c>
      <c r="Q232" s="38">
        <f>IF(P232=5,SUM(K232:O232),"")</f>
        <v/>
      </c>
      <c r="R232" s="38">
        <f>IF(P232="","",IF(P232&lt;5,"Pendente",IF(NOT(cad_limites_ok),"Pendente",IF(K232=3,"A",IF(Q232&gt;=cad_limite_a,"A",IF(Q232&gt;=cad_limite_b,"B","C"))))))</f>
        <v/>
      </c>
      <c r="S232" s="40">
        <f>IF(P232="","",IF(A232="","Pendente: falta o ID do ativo",IF(COUNTIF(at_id,A232)&gt;1,"ERRO: ID do ativo duplicado",IF(COUNTA(K232:O232)&gt;P232,"Pendente: nota inválida (use inteiro de 1 a 3)",IF(P232&lt;5,"Pendente: falta(m) "&amp;(5-P232)&amp;" nota(s)",IF(NOT(cad_limites_ok),"Pendente: corrija os limites A/B em Critérios",IF(K232=3,"A por Segurança = 3","Classe pela soma e limites")))))))</f>
        <v/>
      </c>
    </row>
    <row r="233">
      <c r="A233" s="36" t="n"/>
      <c r="B233" s="36" t="n"/>
      <c r="C233" s="37" t="n"/>
      <c r="D233" s="36" t="n"/>
      <c r="E233" s="38">
        <f>IF(D233="","",IFERROR(INDEX(lst_tipo_nome,MATCH(D233,lst_tipo_id,0)),"Tipo não cadastrado em Listas"))</f>
        <v/>
      </c>
      <c r="F233" s="36" t="n"/>
      <c r="G233" s="36" t="n"/>
      <c r="H233" s="36" t="n"/>
      <c r="I233" s="39" t="n"/>
      <c r="J233" s="38">
        <f>IF(OR(B233="",D233="",H233="",I233=""),"",IF(B233=H233&amp;"-"&amp;IFERROR(INDEX(lst_tipo_sigla,MATCH(D233,lst_tipo_id,0)),"???")&amp;"-"&amp;RIGHT("00"&amp;I233,3),"OK","Verificar: TAG difere de setor-sigla-número"))</f>
        <v/>
      </c>
      <c r="K233" s="39" t="n"/>
      <c r="L233" s="39" t="n"/>
      <c r="M233" s="39" t="n"/>
      <c r="N233" s="39" t="n"/>
      <c r="O233" s="39" t="n"/>
      <c r="P233" s="38">
        <f>IF(COUNTA(A233:D233)+COUNTA(F233:I233)+COUNTA(K233:O233)=0,"",IF(ISNUMBER(K233),AND(K233=INT(K233),K233&gt;=1,K233&lt;=3),FALSE)+IF(ISNUMBER(L233),AND(L233=INT(L233),L233&gt;=1,L233&lt;=3),FALSE)+IF(ISNUMBER(M233),AND(M233=INT(M233),M233&gt;=1,M233&lt;=3),FALSE)+IF(ISNUMBER(N233),AND(N233=INT(N233),N233&gt;=1,N233&lt;=3),FALSE)+IF(ISNUMBER(O233),AND(O233=INT(O233),O233&gt;=1,O233&lt;=3),FALSE))</f>
        <v/>
      </c>
      <c r="Q233" s="38">
        <f>IF(P233=5,SUM(K233:O233),"")</f>
        <v/>
      </c>
      <c r="R233" s="38">
        <f>IF(P233="","",IF(P233&lt;5,"Pendente",IF(NOT(cad_limites_ok),"Pendente",IF(K233=3,"A",IF(Q233&gt;=cad_limite_a,"A",IF(Q233&gt;=cad_limite_b,"B","C"))))))</f>
        <v/>
      </c>
      <c r="S233" s="40">
        <f>IF(P233="","",IF(A233="","Pendente: falta o ID do ativo",IF(COUNTIF(at_id,A233)&gt;1,"ERRO: ID do ativo duplicado",IF(COUNTA(K233:O233)&gt;P233,"Pendente: nota inválida (use inteiro de 1 a 3)",IF(P233&lt;5,"Pendente: falta(m) "&amp;(5-P233)&amp;" nota(s)",IF(NOT(cad_limites_ok),"Pendente: corrija os limites A/B em Critérios",IF(K233=3,"A por Segurança = 3","Classe pela soma e limites")))))))</f>
        <v/>
      </c>
    </row>
    <row r="234">
      <c r="A234" s="36" t="n"/>
      <c r="B234" s="36" t="n"/>
      <c r="C234" s="37" t="n"/>
      <c r="D234" s="36" t="n"/>
      <c r="E234" s="38">
        <f>IF(D234="","",IFERROR(INDEX(lst_tipo_nome,MATCH(D234,lst_tipo_id,0)),"Tipo não cadastrado em Listas"))</f>
        <v/>
      </c>
      <c r="F234" s="36" t="n"/>
      <c r="G234" s="36" t="n"/>
      <c r="H234" s="36" t="n"/>
      <c r="I234" s="39" t="n"/>
      <c r="J234" s="38">
        <f>IF(OR(B234="",D234="",H234="",I234=""),"",IF(B234=H234&amp;"-"&amp;IFERROR(INDEX(lst_tipo_sigla,MATCH(D234,lst_tipo_id,0)),"???")&amp;"-"&amp;RIGHT("00"&amp;I234,3),"OK","Verificar: TAG difere de setor-sigla-número"))</f>
        <v/>
      </c>
      <c r="K234" s="39" t="n"/>
      <c r="L234" s="39" t="n"/>
      <c r="M234" s="39" t="n"/>
      <c r="N234" s="39" t="n"/>
      <c r="O234" s="39" t="n"/>
      <c r="P234" s="38">
        <f>IF(COUNTA(A234:D234)+COUNTA(F234:I234)+COUNTA(K234:O234)=0,"",IF(ISNUMBER(K234),AND(K234=INT(K234),K234&gt;=1,K234&lt;=3),FALSE)+IF(ISNUMBER(L234),AND(L234=INT(L234),L234&gt;=1,L234&lt;=3),FALSE)+IF(ISNUMBER(M234),AND(M234=INT(M234),M234&gt;=1,M234&lt;=3),FALSE)+IF(ISNUMBER(N234),AND(N234=INT(N234),N234&gt;=1,N234&lt;=3),FALSE)+IF(ISNUMBER(O234),AND(O234=INT(O234),O234&gt;=1,O234&lt;=3),FALSE))</f>
        <v/>
      </c>
      <c r="Q234" s="38">
        <f>IF(P234=5,SUM(K234:O234),"")</f>
        <v/>
      </c>
      <c r="R234" s="38">
        <f>IF(P234="","",IF(P234&lt;5,"Pendente",IF(NOT(cad_limites_ok),"Pendente",IF(K234=3,"A",IF(Q234&gt;=cad_limite_a,"A",IF(Q234&gt;=cad_limite_b,"B","C"))))))</f>
        <v/>
      </c>
      <c r="S234" s="40">
        <f>IF(P234="","",IF(A234="","Pendente: falta o ID do ativo",IF(COUNTIF(at_id,A234)&gt;1,"ERRO: ID do ativo duplicado",IF(COUNTA(K234:O234)&gt;P234,"Pendente: nota inválida (use inteiro de 1 a 3)",IF(P234&lt;5,"Pendente: falta(m) "&amp;(5-P234)&amp;" nota(s)",IF(NOT(cad_limites_ok),"Pendente: corrija os limites A/B em Critérios",IF(K234=3,"A por Segurança = 3","Classe pela soma e limites")))))))</f>
        <v/>
      </c>
    </row>
    <row r="235">
      <c r="A235" s="36" t="n"/>
      <c r="B235" s="36" t="n"/>
      <c r="C235" s="37" t="n"/>
      <c r="D235" s="36" t="n"/>
      <c r="E235" s="38">
        <f>IF(D235="","",IFERROR(INDEX(lst_tipo_nome,MATCH(D235,lst_tipo_id,0)),"Tipo não cadastrado em Listas"))</f>
        <v/>
      </c>
      <c r="F235" s="36" t="n"/>
      <c r="G235" s="36" t="n"/>
      <c r="H235" s="36" t="n"/>
      <c r="I235" s="39" t="n"/>
      <c r="J235" s="38">
        <f>IF(OR(B235="",D235="",H235="",I235=""),"",IF(B235=H235&amp;"-"&amp;IFERROR(INDEX(lst_tipo_sigla,MATCH(D235,lst_tipo_id,0)),"???")&amp;"-"&amp;RIGHT("00"&amp;I235,3),"OK","Verificar: TAG difere de setor-sigla-número"))</f>
        <v/>
      </c>
      <c r="K235" s="39" t="n"/>
      <c r="L235" s="39" t="n"/>
      <c r="M235" s="39" t="n"/>
      <c r="N235" s="39" t="n"/>
      <c r="O235" s="39" t="n"/>
      <c r="P235" s="38">
        <f>IF(COUNTA(A235:D235)+COUNTA(F235:I235)+COUNTA(K235:O235)=0,"",IF(ISNUMBER(K235),AND(K235=INT(K235),K235&gt;=1,K235&lt;=3),FALSE)+IF(ISNUMBER(L235),AND(L235=INT(L235),L235&gt;=1,L235&lt;=3),FALSE)+IF(ISNUMBER(M235),AND(M235=INT(M235),M235&gt;=1,M235&lt;=3),FALSE)+IF(ISNUMBER(N235),AND(N235=INT(N235),N235&gt;=1,N235&lt;=3),FALSE)+IF(ISNUMBER(O235),AND(O235=INT(O235),O235&gt;=1,O235&lt;=3),FALSE))</f>
        <v/>
      </c>
      <c r="Q235" s="38">
        <f>IF(P235=5,SUM(K235:O235),"")</f>
        <v/>
      </c>
      <c r="R235" s="38">
        <f>IF(P235="","",IF(P235&lt;5,"Pendente",IF(NOT(cad_limites_ok),"Pendente",IF(K235=3,"A",IF(Q235&gt;=cad_limite_a,"A",IF(Q235&gt;=cad_limite_b,"B","C"))))))</f>
        <v/>
      </c>
      <c r="S235" s="40">
        <f>IF(P235="","",IF(A235="","Pendente: falta o ID do ativo",IF(COUNTIF(at_id,A235)&gt;1,"ERRO: ID do ativo duplicado",IF(COUNTA(K235:O235)&gt;P235,"Pendente: nota inválida (use inteiro de 1 a 3)",IF(P235&lt;5,"Pendente: falta(m) "&amp;(5-P235)&amp;" nota(s)",IF(NOT(cad_limites_ok),"Pendente: corrija os limites A/B em Critérios",IF(K235=3,"A por Segurança = 3","Classe pela soma e limites")))))))</f>
        <v/>
      </c>
    </row>
    <row r="236">
      <c r="A236" s="36" t="n"/>
      <c r="B236" s="36" t="n"/>
      <c r="C236" s="37" t="n"/>
      <c r="D236" s="36" t="n"/>
      <c r="E236" s="38">
        <f>IF(D236="","",IFERROR(INDEX(lst_tipo_nome,MATCH(D236,lst_tipo_id,0)),"Tipo não cadastrado em Listas"))</f>
        <v/>
      </c>
      <c r="F236" s="36" t="n"/>
      <c r="G236" s="36" t="n"/>
      <c r="H236" s="36" t="n"/>
      <c r="I236" s="39" t="n"/>
      <c r="J236" s="38">
        <f>IF(OR(B236="",D236="",H236="",I236=""),"",IF(B236=H236&amp;"-"&amp;IFERROR(INDEX(lst_tipo_sigla,MATCH(D236,lst_tipo_id,0)),"???")&amp;"-"&amp;RIGHT("00"&amp;I236,3),"OK","Verificar: TAG difere de setor-sigla-número"))</f>
        <v/>
      </c>
      <c r="K236" s="39" t="n"/>
      <c r="L236" s="39" t="n"/>
      <c r="M236" s="39" t="n"/>
      <c r="N236" s="39" t="n"/>
      <c r="O236" s="39" t="n"/>
      <c r="P236" s="38">
        <f>IF(COUNTA(A236:D236)+COUNTA(F236:I236)+COUNTA(K236:O236)=0,"",IF(ISNUMBER(K236),AND(K236=INT(K236),K236&gt;=1,K236&lt;=3),FALSE)+IF(ISNUMBER(L236),AND(L236=INT(L236),L236&gt;=1,L236&lt;=3),FALSE)+IF(ISNUMBER(M236),AND(M236=INT(M236),M236&gt;=1,M236&lt;=3),FALSE)+IF(ISNUMBER(N236),AND(N236=INT(N236),N236&gt;=1,N236&lt;=3),FALSE)+IF(ISNUMBER(O236),AND(O236=INT(O236),O236&gt;=1,O236&lt;=3),FALSE))</f>
        <v/>
      </c>
      <c r="Q236" s="38">
        <f>IF(P236=5,SUM(K236:O236),"")</f>
        <v/>
      </c>
      <c r="R236" s="38">
        <f>IF(P236="","",IF(P236&lt;5,"Pendente",IF(NOT(cad_limites_ok),"Pendente",IF(K236=3,"A",IF(Q236&gt;=cad_limite_a,"A",IF(Q236&gt;=cad_limite_b,"B","C"))))))</f>
        <v/>
      </c>
      <c r="S236" s="40">
        <f>IF(P236="","",IF(A236="","Pendente: falta o ID do ativo",IF(COUNTIF(at_id,A236)&gt;1,"ERRO: ID do ativo duplicado",IF(COUNTA(K236:O236)&gt;P236,"Pendente: nota inválida (use inteiro de 1 a 3)",IF(P236&lt;5,"Pendente: falta(m) "&amp;(5-P236)&amp;" nota(s)",IF(NOT(cad_limites_ok),"Pendente: corrija os limites A/B em Critérios",IF(K236=3,"A por Segurança = 3","Classe pela soma e limites")))))))</f>
        <v/>
      </c>
    </row>
    <row r="237">
      <c r="A237" s="36" t="n"/>
      <c r="B237" s="36" t="n"/>
      <c r="C237" s="37" t="n"/>
      <c r="D237" s="36" t="n"/>
      <c r="E237" s="38">
        <f>IF(D237="","",IFERROR(INDEX(lst_tipo_nome,MATCH(D237,lst_tipo_id,0)),"Tipo não cadastrado em Listas"))</f>
        <v/>
      </c>
      <c r="F237" s="36" t="n"/>
      <c r="G237" s="36" t="n"/>
      <c r="H237" s="36" t="n"/>
      <c r="I237" s="39" t="n"/>
      <c r="J237" s="38">
        <f>IF(OR(B237="",D237="",H237="",I237=""),"",IF(B237=H237&amp;"-"&amp;IFERROR(INDEX(lst_tipo_sigla,MATCH(D237,lst_tipo_id,0)),"???")&amp;"-"&amp;RIGHT("00"&amp;I237,3),"OK","Verificar: TAG difere de setor-sigla-número"))</f>
        <v/>
      </c>
      <c r="K237" s="39" t="n"/>
      <c r="L237" s="39" t="n"/>
      <c r="M237" s="39" t="n"/>
      <c r="N237" s="39" t="n"/>
      <c r="O237" s="39" t="n"/>
      <c r="P237" s="38">
        <f>IF(COUNTA(A237:D237)+COUNTA(F237:I237)+COUNTA(K237:O237)=0,"",IF(ISNUMBER(K237),AND(K237=INT(K237),K237&gt;=1,K237&lt;=3),FALSE)+IF(ISNUMBER(L237),AND(L237=INT(L237),L237&gt;=1,L237&lt;=3),FALSE)+IF(ISNUMBER(M237),AND(M237=INT(M237),M237&gt;=1,M237&lt;=3),FALSE)+IF(ISNUMBER(N237),AND(N237=INT(N237),N237&gt;=1,N237&lt;=3),FALSE)+IF(ISNUMBER(O237),AND(O237=INT(O237),O237&gt;=1,O237&lt;=3),FALSE))</f>
        <v/>
      </c>
      <c r="Q237" s="38">
        <f>IF(P237=5,SUM(K237:O237),"")</f>
        <v/>
      </c>
      <c r="R237" s="38">
        <f>IF(P237="","",IF(P237&lt;5,"Pendente",IF(NOT(cad_limites_ok),"Pendente",IF(K237=3,"A",IF(Q237&gt;=cad_limite_a,"A",IF(Q237&gt;=cad_limite_b,"B","C"))))))</f>
        <v/>
      </c>
      <c r="S237" s="40">
        <f>IF(P237="","",IF(A237="","Pendente: falta o ID do ativo",IF(COUNTIF(at_id,A237)&gt;1,"ERRO: ID do ativo duplicado",IF(COUNTA(K237:O237)&gt;P237,"Pendente: nota inválida (use inteiro de 1 a 3)",IF(P237&lt;5,"Pendente: falta(m) "&amp;(5-P237)&amp;" nota(s)",IF(NOT(cad_limites_ok),"Pendente: corrija os limites A/B em Critérios",IF(K237=3,"A por Segurança = 3","Classe pela soma e limites")))))))</f>
        <v/>
      </c>
    </row>
    <row r="238">
      <c r="A238" s="36" t="n"/>
      <c r="B238" s="36" t="n"/>
      <c r="C238" s="37" t="n"/>
      <c r="D238" s="36" t="n"/>
      <c r="E238" s="38">
        <f>IF(D238="","",IFERROR(INDEX(lst_tipo_nome,MATCH(D238,lst_tipo_id,0)),"Tipo não cadastrado em Listas"))</f>
        <v/>
      </c>
      <c r="F238" s="36" t="n"/>
      <c r="G238" s="36" t="n"/>
      <c r="H238" s="36" t="n"/>
      <c r="I238" s="39" t="n"/>
      <c r="J238" s="38">
        <f>IF(OR(B238="",D238="",H238="",I238=""),"",IF(B238=H238&amp;"-"&amp;IFERROR(INDEX(lst_tipo_sigla,MATCH(D238,lst_tipo_id,0)),"???")&amp;"-"&amp;RIGHT("00"&amp;I238,3),"OK","Verificar: TAG difere de setor-sigla-número"))</f>
        <v/>
      </c>
      <c r="K238" s="39" t="n"/>
      <c r="L238" s="39" t="n"/>
      <c r="M238" s="39" t="n"/>
      <c r="N238" s="39" t="n"/>
      <c r="O238" s="39" t="n"/>
      <c r="P238" s="38">
        <f>IF(COUNTA(A238:D238)+COUNTA(F238:I238)+COUNTA(K238:O238)=0,"",IF(ISNUMBER(K238),AND(K238=INT(K238),K238&gt;=1,K238&lt;=3),FALSE)+IF(ISNUMBER(L238),AND(L238=INT(L238),L238&gt;=1,L238&lt;=3),FALSE)+IF(ISNUMBER(M238),AND(M238=INT(M238),M238&gt;=1,M238&lt;=3),FALSE)+IF(ISNUMBER(N238),AND(N238=INT(N238),N238&gt;=1,N238&lt;=3),FALSE)+IF(ISNUMBER(O238),AND(O238=INT(O238),O238&gt;=1,O238&lt;=3),FALSE))</f>
        <v/>
      </c>
      <c r="Q238" s="38">
        <f>IF(P238=5,SUM(K238:O238),"")</f>
        <v/>
      </c>
      <c r="R238" s="38">
        <f>IF(P238="","",IF(P238&lt;5,"Pendente",IF(NOT(cad_limites_ok),"Pendente",IF(K238=3,"A",IF(Q238&gt;=cad_limite_a,"A",IF(Q238&gt;=cad_limite_b,"B","C"))))))</f>
        <v/>
      </c>
      <c r="S238" s="40">
        <f>IF(P238="","",IF(A238="","Pendente: falta o ID do ativo",IF(COUNTIF(at_id,A238)&gt;1,"ERRO: ID do ativo duplicado",IF(COUNTA(K238:O238)&gt;P238,"Pendente: nota inválida (use inteiro de 1 a 3)",IF(P238&lt;5,"Pendente: falta(m) "&amp;(5-P238)&amp;" nota(s)",IF(NOT(cad_limites_ok),"Pendente: corrija os limites A/B em Critérios",IF(K238=3,"A por Segurança = 3","Classe pela soma e limites")))))))</f>
        <v/>
      </c>
    </row>
    <row r="239">
      <c r="A239" s="36" t="n"/>
      <c r="B239" s="36" t="n"/>
      <c r="C239" s="37" t="n"/>
      <c r="D239" s="36" t="n"/>
      <c r="E239" s="38">
        <f>IF(D239="","",IFERROR(INDEX(lst_tipo_nome,MATCH(D239,lst_tipo_id,0)),"Tipo não cadastrado em Listas"))</f>
        <v/>
      </c>
      <c r="F239" s="36" t="n"/>
      <c r="G239" s="36" t="n"/>
      <c r="H239" s="36" t="n"/>
      <c r="I239" s="39" t="n"/>
      <c r="J239" s="38">
        <f>IF(OR(B239="",D239="",H239="",I239=""),"",IF(B239=H239&amp;"-"&amp;IFERROR(INDEX(lst_tipo_sigla,MATCH(D239,lst_tipo_id,0)),"???")&amp;"-"&amp;RIGHT("00"&amp;I239,3),"OK","Verificar: TAG difere de setor-sigla-número"))</f>
        <v/>
      </c>
      <c r="K239" s="39" t="n"/>
      <c r="L239" s="39" t="n"/>
      <c r="M239" s="39" t="n"/>
      <c r="N239" s="39" t="n"/>
      <c r="O239" s="39" t="n"/>
      <c r="P239" s="38">
        <f>IF(COUNTA(A239:D239)+COUNTA(F239:I239)+COUNTA(K239:O239)=0,"",IF(ISNUMBER(K239),AND(K239=INT(K239),K239&gt;=1,K239&lt;=3),FALSE)+IF(ISNUMBER(L239),AND(L239=INT(L239),L239&gt;=1,L239&lt;=3),FALSE)+IF(ISNUMBER(M239),AND(M239=INT(M239),M239&gt;=1,M239&lt;=3),FALSE)+IF(ISNUMBER(N239),AND(N239=INT(N239),N239&gt;=1,N239&lt;=3),FALSE)+IF(ISNUMBER(O239),AND(O239=INT(O239),O239&gt;=1,O239&lt;=3),FALSE))</f>
        <v/>
      </c>
      <c r="Q239" s="38">
        <f>IF(P239=5,SUM(K239:O239),"")</f>
        <v/>
      </c>
      <c r="R239" s="38">
        <f>IF(P239="","",IF(P239&lt;5,"Pendente",IF(NOT(cad_limites_ok),"Pendente",IF(K239=3,"A",IF(Q239&gt;=cad_limite_a,"A",IF(Q239&gt;=cad_limite_b,"B","C"))))))</f>
        <v/>
      </c>
      <c r="S239" s="40">
        <f>IF(P239="","",IF(A239="","Pendente: falta o ID do ativo",IF(COUNTIF(at_id,A239)&gt;1,"ERRO: ID do ativo duplicado",IF(COUNTA(K239:O239)&gt;P239,"Pendente: nota inválida (use inteiro de 1 a 3)",IF(P239&lt;5,"Pendente: falta(m) "&amp;(5-P239)&amp;" nota(s)",IF(NOT(cad_limites_ok),"Pendente: corrija os limites A/B em Critérios",IF(K239=3,"A por Segurança = 3","Classe pela soma e limites")))))))</f>
        <v/>
      </c>
    </row>
    <row r="240">
      <c r="A240" s="36" t="n"/>
      <c r="B240" s="36" t="n"/>
      <c r="C240" s="37" t="n"/>
      <c r="D240" s="36" t="n"/>
      <c r="E240" s="38">
        <f>IF(D240="","",IFERROR(INDEX(lst_tipo_nome,MATCH(D240,lst_tipo_id,0)),"Tipo não cadastrado em Listas"))</f>
        <v/>
      </c>
      <c r="F240" s="36" t="n"/>
      <c r="G240" s="36" t="n"/>
      <c r="H240" s="36" t="n"/>
      <c r="I240" s="39" t="n"/>
      <c r="J240" s="38">
        <f>IF(OR(B240="",D240="",H240="",I240=""),"",IF(B240=H240&amp;"-"&amp;IFERROR(INDEX(lst_tipo_sigla,MATCH(D240,lst_tipo_id,0)),"???")&amp;"-"&amp;RIGHT("00"&amp;I240,3),"OK","Verificar: TAG difere de setor-sigla-número"))</f>
        <v/>
      </c>
      <c r="K240" s="39" t="n"/>
      <c r="L240" s="39" t="n"/>
      <c r="M240" s="39" t="n"/>
      <c r="N240" s="39" t="n"/>
      <c r="O240" s="39" t="n"/>
      <c r="P240" s="38">
        <f>IF(COUNTA(A240:D240)+COUNTA(F240:I240)+COUNTA(K240:O240)=0,"",IF(ISNUMBER(K240),AND(K240=INT(K240),K240&gt;=1,K240&lt;=3),FALSE)+IF(ISNUMBER(L240),AND(L240=INT(L240),L240&gt;=1,L240&lt;=3),FALSE)+IF(ISNUMBER(M240),AND(M240=INT(M240),M240&gt;=1,M240&lt;=3),FALSE)+IF(ISNUMBER(N240),AND(N240=INT(N240),N240&gt;=1,N240&lt;=3),FALSE)+IF(ISNUMBER(O240),AND(O240=INT(O240),O240&gt;=1,O240&lt;=3),FALSE))</f>
        <v/>
      </c>
      <c r="Q240" s="38">
        <f>IF(P240=5,SUM(K240:O240),"")</f>
        <v/>
      </c>
      <c r="R240" s="38">
        <f>IF(P240="","",IF(P240&lt;5,"Pendente",IF(NOT(cad_limites_ok),"Pendente",IF(K240=3,"A",IF(Q240&gt;=cad_limite_a,"A",IF(Q240&gt;=cad_limite_b,"B","C"))))))</f>
        <v/>
      </c>
      <c r="S240" s="40">
        <f>IF(P240="","",IF(A240="","Pendente: falta o ID do ativo",IF(COUNTIF(at_id,A240)&gt;1,"ERRO: ID do ativo duplicado",IF(COUNTA(K240:O240)&gt;P240,"Pendente: nota inválida (use inteiro de 1 a 3)",IF(P240&lt;5,"Pendente: falta(m) "&amp;(5-P240)&amp;" nota(s)",IF(NOT(cad_limites_ok),"Pendente: corrija os limites A/B em Critérios",IF(K240=3,"A por Segurança = 3","Classe pela soma e limites")))))))</f>
        <v/>
      </c>
    </row>
    <row r="241">
      <c r="A241" s="36" t="n"/>
      <c r="B241" s="36" t="n"/>
      <c r="C241" s="37" t="n"/>
      <c r="D241" s="36" t="n"/>
      <c r="E241" s="38">
        <f>IF(D241="","",IFERROR(INDEX(lst_tipo_nome,MATCH(D241,lst_tipo_id,0)),"Tipo não cadastrado em Listas"))</f>
        <v/>
      </c>
      <c r="F241" s="36" t="n"/>
      <c r="G241" s="36" t="n"/>
      <c r="H241" s="36" t="n"/>
      <c r="I241" s="39" t="n"/>
      <c r="J241" s="38">
        <f>IF(OR(B241="",D241="",H241="",I241=""),"",IF(B241=H241&amp;"-"&amp;IFERROR(INDEX(lst_tipo_sigla,MATCH(D241,lst_tipo_id,0)),"???")&amp;"-"&amp;RIGHT("00"&amp;I241,3),"OK","Verificar: TAG difere de setor-sigla-número"))</f>
        <v/>
      </c>
      <c r="K241" s="39" t="n"/>
      <c r="L241" s="39" t="n"/>
      <c r="M241" s="39" t="n"/>
      <c r="N241" s="39" t="n"/>
      <c r="O241" s="39" t="n"/>
      <c r="P241" s="38">
        <f>IF(COUNTA(A241:D241)+COUNTA(F241:I241)+COUNTA(K241:O241)=0,"",IF(ISNUMBER(K241),AND(K241=INT(K241),K241&gt;=1,K241&lt;=3),FALSE)+IF(ISNUMBER(L241),AND(L241=INT(L241),L241&gt;=1,L241&lt;=3),FALSE)+IF(ISNUMBER(M241),AND(M241=INT(M241),M241&gt;=1,M241&lt;=3),FALSE)+IF(ISNUMBER(N241),AND(N241=INT(N241),N241&gt;=1,N241&lt;=3),FALSE)+IF(ISNUMBER(O241),AND(O241=INT(O241),O241&gt;=1,O241&lt;=3),FALSE))</f>
        <v/>
      </c>
      <c r="Q241" s="38">
        <f>IF(P241=5,SUM(K241:O241),"")</f>
        <v/>
      </c>
      <c r="R241" s="38">
        <f>IF(P241="","",IF(P241&lt;5,"Pendente",IF(NOT(cad_limites_ok),"Pendente",IF(K241=3,"A",IF(Q241&gt;=cad_limite_a,"A",IF(Q241&gt;=cad_limite_b,"B","C"))))))</f>
        <v/>
      </c>
      <c r="S241" s="40">
        <f>IF(P241="","",IF(A241="","Pendente: falta o ID do ativo",IF(COUNTIF(at_id,A241)&gt;1,"ERRO: ID do ativo duplicado",IF(COUNTA(K241:O241)&gt;P241,"Pendente: nota inválida (use inteiro de 1 a 3)",IF(P241&lt;5,"Pendente: falta(m) "&amp;(5-P241)&amp;" nota(s)",IF(NOT(cad_limites_ok),"Pendente: corrija os limites A/B em Critérios",IF(K241=3,"A por Segurança = 3","Classe pela soma e limites")))))))</f>
        <v/>
      </c>
    </row>
    <row r="242">
      <c r="A242" s="36" t="n"/>
      <c r="B242" s="36" t="n"/>
      <c r="C242" s="37" t="n"/>
      <c r="D242" s="36" t="n"/>
      <c r="E242" s="38">
        <f>IF(D242="","",IFERROR(INDEX(lst_tipo_nome,MATCH(D242,lst_tipo_id,0)),"Tipo não cadastrado em Listas"))</f>
        <v/>
      </c>
      <c r="F242" s="36" t="n"/>
      <c r="G242" s="36" t="n"/>
      <c r="H242" s="36" t="n"/>
      <c r="I242" s="39" t="n"/>
      <c r="J242" s="38">
        <f>IF(OR(B242="",D242="",H242="",I242=""),"",IF(B242=H242&amp;"-"&amp;IFERROR(INDEX(lst_tipo_sigla,MATCH(D242,lst_tipo_id,0)),"???")&amp;"-"&amp;RIGHT("00"&amp;I242,3),"OK","Verificar: TAG difere de setor-sigla-número"))</f>
        <v/>
      </c>
      <c r="K242" s="39" t="n"/>
      <c r="L242" s="39" t="n"/>
      <c r="M242" s="39" t="n"/>
      <c r="N242" s="39" t="n"/>
      <c r="O242" s="39" t="n"/>
      <c r="P242" s="38">
        <f>IF(COUNTA(A242:D242)+COUNTA(F242:I242)+COUNTA(K242:O242)=0,"",IF(ISNUMBER(K242),AND(K242=INT(K242),K242&gt;=1,K242&lt;=3),FALSE)+IF(ISNUMBER(L242),AND(L242=INT(L242),L242&gt;=1,L242&lt;=3),FALSE)+IF(ISNUMBER(M242),AND(M242=INT(M242),M242&gt;=1,M242&lt;=3),FALSE)+IF(ISNUMBER(N242),AND(N242=INT(N242),N242&gt;=1,N242&lt;=3),FALSE)+IF(ISNUMBER(O242),AND(O242=INT(O242),O242&gt;=1,O242&lt;=3),FALSE))</f>
        <v/>
      </c>
      <c r="Q242" s="38">
        <f>IF(P242=5,SUM(K242:O242),"")</f>
        <v/>
      </c>
      <c r="R242" s="38">
        <f>IF(P242="","",IF(P242&lt;5,"Pendente",IF(NOT(cad_limites_ok),"Pendente",IF(K242=3,"A",IF(Q242&gt;=cad_limite_a,"A",IF(Q242&gt;=cad_limite_b,"B","C"))))))</f>
        <v/>
      </c>
      <c r="S242" s="40">
        <f>IF(P242="","",IF(A242="","Pendente: falta o ID do ativo",IF(COUNTIF(at_id,A242)&gt;1,"ERRO: ID do ativo duplicado",IF(COUNTA(K242:O242)&gt;P242,"Pendente: nota inválida (use inteiro de 1 a 3)",IF(P242&lt;5,"Pendente: falta(m) "&amp;(5-P242)&amp;" nota(s)",IF(NOT(cad_limites_ok),"Pendente: corrija os limites A/B em Critérios",IF(K242=3,"A por Segurança = 3","Classe pela soma e limites")))))))</f>
        <v/>
      </c>
    </row>
    <row r="243">
      <c r="A243" s="36" t="n"/>
      <c r="B243" s="36" t="n"/>
      <c r="C243" s="37" t="n"/>
      <c r="D243" s="36" t="n"/>
      <c r="E243" s="38">
        <f>IF(D243="","",IFERROR(INDEX(lst_tipo_nome,MATCH(D243,lst_tipo_id,0)),"Tipo não cadastrado em Listas"))</f>
        <v/>
      </c>
      <c r="F243" s="36" t="n"/>
      <c r="G243" s="36" t="n"/>
      <c r="H243" s="36" t="n"/>
      <c r="I243" s="39" t="n"/>
      <c r="J243" s="38">
        <f>IF(OR(B243="",D243="",H243="",I243=""),"",IF(B243=H243&amp;"-"&amp;IFERROR(INDEX(lst_tipo_sigla,MATCH(D243,lst_tipo_id,0)),"???")&amp;"-"&amp;RIGHT("00"&amp;I243,3),"OK","Verificar: TAG difere de setor-sigla-número"))</f>
        <v/>
      </c>
      <c r="K243" s="39" t="n"/>
      <c r="L243" s="39" t="n"/>
      <c r="M243" s="39" t="n"/>
      <c r="N243" s="39" t="n"/>
      <c r="O243" s="39" t="n"/>
      <c r="P243" s="38">
        <f>IF(COUNTA(A243:D243)+COUNTA(F243:I243)+COUNTA(K243:O243)=0,"",IF(ISNUMBER(K243),AND(K243=INT(K243),K243&gt;=1,K243&lt;=3),FALSE)+IF(ISNUMBER(L243),AND(L243=INT(L243),L243&gt;=1,L243&lt;=3),FALSE)+IF(ISNUMBER(M243),AND(M243=INT(M243),M243&gt;=1,M243&lt;=3),FALSE)+IF(ISNUMBER(N243),AND(N243=INT(N243),N243&gt;=1,N243&lt;=3),FALSE)+IF(ISNUMBER(O243),AND(O243=INT(O243),O243&gt;=1,O243&lt;=3),FALSE))</f>
        <v/>
      </c>
      <c r="Q243" s="38">
        <f>IF(P243=5,SUM(K243:O243),"")</f>
        <v/>
      </c>
      <c r="R243" s="38">
        <f>IF(P243="","",IF(P243&lt;5,"Pendente",IF(NOT(cad_limites_ok),"Pendente",IF(K243=3,"A",IF(Q243&gt;=cad_limite_a,"A",IF(Q243&gt;=cad_limite_b,"B","C"))))))</f>
        <v/>
      </c>
      <c r="S243" s="40">
        <f>IF(P243="","",IF(A243="","Pendente: falta o ID do ativo",IF(COUNTIF(at_id,A243)&gt;1,"ERRO: ID do ativo duplicado",IF(COUNTA(K243:O243)&gt;P243,"Pendente: nota inválida (use inteiro de 1 a 3)",IF(P243&lt;5,"Pendente: falta(m) "&amp;(5-P243)&amp;" nota(s)",IF(NOT(cad_limites_ok),"Pendente: corrija os limites A/B em Critérios",IF(K243=3,"A por Segurança = 3","Classe pela soma e limites")))))))</f>
        <v/>
      </c>
    </row>
    <row r="244">
      <c r="A244" s="36" t="n"/>
      <c r="B244" s="36" t="n"/>
      <c r="C244" s="37" t="n"/>
      <c r="D244" s="36" t="n"/>
      <c r="E244" s="38">
        <f>IF(D244="","",IFERROR(INDEX(lst_tipo_nome,MATCH(D244,lst_tipo_id,0)),"Tipo não cadastrado em Listas"))</f>
        <v/>
      </c>
      <c r="F244" s="36" t="n"/>
      <c r="G244" s="36" t="n"/>
      <c r="H244" s="36" t="n"/>
      <c r="I244" s="39" t="n"/>
      <c r="J244" s="38">
        <f>IF(OR(B244="",D244="",H244="",I244=""),"",IF(B244=H244&amp;"-"&amp;IFERROR(INDEX(lst_tipo_sigla,MATCH(D244,lst_tipo_id,0)),"???")&amp;"-"&amp;RIGHT("00"&amp;I244,3),"OK","Verificar: TAG difere de setor-sigla-número"))</f>
        <v/>
      </c>
      <c r="K244" s="39" t="n"/>
      <c r="L244" s="39" t="n"/>
      <c r="M244" s="39" t="n"/>
      <c r="N244" s="39" t="n"/>
      <c r="O244" s="39" t="n"/>
      <c r="P244" s="38">
        <f>IF(COUNTA(A244:D244)+COUNTA(F244:I244)+COUNTA(K244:O244)=0,"",IF(ISNUMBER(K244),AND(K244=INT(K244),K244&gt;=1,K244&lt;=3),FALSE)+IF(ISNUMBER(L244),AND(L244=INT(L244),L244&gt;=1,L244&lt;=3),FALSE)+IF(ISNUMBER(M244),AND(M244=INT(M244),M244&gt;=1,M244&lt;=3),FALSE)+IF(ISNUMBER(N244),AND(N244=INT(N244),N244&gt;=1,N244&lt;=3),FALSE)+IF(ISNUMBER(O244),AND(O244=INT(O244),O244&gt;=1,O244&lt;=3),FALSE))</f>
        <v/>
      </c>
      <c r="Q244" s="38">
        <f>IF(P244=5,SUM(K244:O244),"")</f>
        <v/>
      </c>
      <c r="R244" s="38">
        <f>IF(P244="","",IF(P244&lt;5,"Pendente",IF(NOT(cad_limites_ok),"Pendente",IF(K244=3,"A",IF(Q244&gt;=cad_limite_a,"A",IF(Q244&gt;=cad_limite_b,"B","C"))))))</f>
        <v/>
      </c>
      <c r="S244" s="40">
        <f>IF(P244="","",IF(A244="","Pendente: falta o ID do ativo",IF(COUNTIF(at_id,A244)&gt;1,"ERRO: ID do ativo duplicado",IF(COUNTA(K244:O244)&gt;P244,"Pendente: nota inválida (use inteiro de 1 a 3)",IF(P244&lt;5,"Pendente: falta(m) "&amp;(5-P244)&amp;" nota(s)",IF(NOT(cad_limites_ok),"Pendente: corrija os limites A/B em Critérios",IF(K244=3,"A por Segurança = 3","Classe pela soma e limites")))))))</f>
        <v/>
      </c>
    </row>
    <row r="245">
      <c r="A245" s="36" t="n"/>
      <c r="B245" s="36" t="n"/>
      <c r="C245" s="37" t="n"/>
      <c r="D245" s="36" t="n"/>
      <c r="E245" s="38">
        <f>IF(D245="","",IFERROR(INDEX(lst_tipo_nome,MATCH(D245,lst_tipo_id,0)),"Tipo não cadastrado em Listas"))</f>
        <v/>
      </c>
      <c r="F245" s="36" t="n"/>
      <c r="G245" s="36" t="n"/>
      <c r="H245" s="36" t="n"/>
      <c r="I245" s="39" t="n"/>
      <c r="J245" s="38">
        <f>IF(OR(B245="",D245="",H245="",I245=""),"",IF(B245=H245&amp;"-"&amp;IFERROR(INDEX(lst_tipo_sigla,MATCH(D245,lst_tipo_id,0)),"???")&amp;"-"&amp;RIGHT("00"&amp;I245,3),"OK","Verificar: TAG difere de setor-sigla-número"))</f>
        <v/>
      </c>
      <c r="K245" s="39" t="n"/>
      <c r="L245" s="39" t="n"/>
      <c r="M245" s="39" t="n"/>
      <c r="N245" s="39" t="n"/>
      <c r="O245" s="39" t="n"/>
      <c r="P245" s="38">
        <f>IF(COUNTA(A245:D245)+COUNTA(F245:I245)+COUNTA(K245:O245)=0,"",IF(ISNUMBER(K245),AND(K245=INT(K245),K245&gt;=1,K245&lt;=3),FALSE)+IF(ISNUMBER(L245),AND(L245=INT(L245),L245&gt;=1,L245&lt;=3),FALSE)+IF(ISNUMBER(M245),AND(M245=INT(M245),M245&gt;=1,M245&lt;=3),FALSE)+IF(ISNUMBER(N245),AND(N245=INT(N245),N245&gt;=1,N245&lt;=3),FALSE)+IF(ISNUMBER(O245),AND(O245=INT(O245),O245&gt;=1,O245&lt;=3),FALSE))</f>
        <v/>
      </c>
      <c r="Q245" s="38">
        <f>IF(P245=5,SUM(K245:O245),"")</f>
        <v/>
      </c>
      <c r="R245" s="38">
        <f>IF(P245="","",IF(P245&lt;5,"Pendente",IF(NOT(cad_limites_ok),"Pendente",IF(K245=3,"A",IF(Q245&gt;=cad_limite_a,"A",IF(Q245&gt;=cad_limite_b,"B","C"))))))</f>
        <v/>
      </c>
      <c r="S245" s="40">
        <f>IF(P245="","",IF(A245="","Pendente: falta o ID do ativo",IF(COUNTIF(at_id,A245)&gt;1,"ERRO: ID do ativo duplicado",IF(COUNTA(K245:O245)&gt;P245,"Pendente: nota inválida (use inteiro de 1 a 3)",IF(P245&lt;5,"Pendente: falta(m) "&amp;(5-P245)&amp;" nota(s)",IF(NOT(cad_limites_ok),"Pendente: corrija os limites A/B em Critérios",IF(K245=3,"A por Segurança = 3","Classe pela soma e limites")))))))</f>
        <v/>
      </c>
    </row>
    <row r="246">
      <c r="A246" s="36" t="n"/>
      <c r="B246" s="36" t="n"/>
      <c r="C246" s="37" t="n"/>
      <c r="D246" s="36" t="n"/>
      <c r="E246" s="38">
        <f>IF(D246="","",IFERROR(INDEX(lst_tipo_nome,MATCH(D246,lst_tipo_id,0)),"Tipo não cadastrado em Listas"))</f>
        <v/>
      </c>
      <c r="F246" s="36" t="n"/>
      <c r="G246" s="36" t="n"/>
      <c r="H246" s="36" t="n"/>
      <c r="I246" s="39" t="n"/>
      <c r="J246" s="38">
        <f>IF(OR(B246="",D246="",H246="",I246=""),"",IF(B246=H246&amp;"-"&amp;IFERROR(INDEX(lst_tipo_sigla,MATCH(D246,lst_tipo_id,0)),"???")&amp;"-"&amp;RIGHT("00"&amp;I246,3),"OK","Verificar: TAG difere de setor-sigla-número"))</f>
        <v/>
      </c>
      <c r="K246" s="39" t="n"/>
      <c r="L246" s="39" t="n"/>
      <c r="M246" s="39" t="n"/>
      <c r="N246" s="39" t="n"/>
      <c r="O246" s="39" t="n"/>
      <c r="P246" s="38">
        <f>IF(COUNTA(A246:D246)+COUNTA(F246:I246)+COUNTA(K246:O246)=0,"",IF(ISNUMBER(K246),AND(K246=INT(K246),K246&gt;=1,K246&lt;=3),FALSE)+IF(ISNUMBER(L246),AND(L246=INT(L246),L246&gt;=1,L246&lt;=3),FALSE)+IF(ISNUMBER(M246),AND(M246=INT(M246),M246&gt;=1,M246&lt;=3),FALSE)+IF(ISNUMBER(N246),AND(N246=INT(N246),N246&gt;=1,N246&lt;=3),FALSE)+IF(ISNUMBER(O246),AND(O246=INT(O246),O246&gt;=1,O246&lt;=3),FALSE))</f>
        <v/>
      </c>
      <c r="Q246" s="38">
        <f>IF(P246=5,SUM(K246:O246),"")</f>
        <v/>
      </c>
      <c r="R246" s="38">
        <f>IF(P246="","",IF(P246&lt;5,"Pendente",IF(NOT(cad_limites_ok),"Pendente",IF(K246=3,"A",IF(Q246&gt;=cad_limite_a,"A",IF(Q246&gt;=cad_limite_b,"B","C"))))))</f>
        <v/>
      </c>
      <c r="S246" s="40">
        <f>IF(P246="","",IF(A246="","Pendente: falta o ID do ativo",IF(COUNTIF(at_id,A246)&gt;1,"ERRO: ID do ativo duplicado",IF(COUNTA(K246:O246)&gt;P246,"Pendente: nota inválida (use inteiro de 1 a 3)",IF(P246&lt;5,"Pendente: falta(m) "&amp;(5-P246)&amp;" nota(s)",IF(NOT(cad_limites_ok),"Pendente: corrija os limites A/B em Critérios",IF(K246=3,"A por Segurança = 3","Classe pela soma e limites")))))))</f>
        <v/>
      </c>
    </row>
    <row r="247">
      <c r="A247" s="36" t="n"/>
      <c r="B247" s="36" t="n"/>
      <c r="C247" s="37" t="n"/>
      <c r="D247" s="36" t="n"/>
      <c r="E247" s="38">
        <f>IF(D247="","",IFERROR(INDEX(lst_tipo_nome,MATCH(D247,lst_tipo_id,0)),"Tipo não cadastrado em Listas"))</f>
        <v/>
      </c>
      <c r="F247" s="36" t="n"/>
      <c r="G247" s="36" t="n"/>
      <c r="H247" s="36" t="n"/>
      <c r="I247" s="39" t="n"/>
      <c r="J247" s="38">
        <f>IF(OR(B247="",D247="",H247="",I247=""),"",IF(B247=H247&amp;"-"&amp;IFERROR(INDEX(lst_tipo_sigla,MATCH(D247,lst_tipo_id,0)),"???")&amp;"-"&amp;RIGHT("00"&amp;I247,3),"OK","Verificar: TAG difere de setor-sigla-número"))</f>
        <v/>
      </c>
      <c r="K247" s="39" t="n"/>
      <c r="L247" s="39" t="n"/>
      <c r="M247" s="39" t="n"/>
      <c r="N247" s="39" t="n"/>
      <c r="O247" s="39" t="n"/>
      <c r="P247" s="38">
        <f>IF(COUNTA(A247:D247)+COUNTA(F247:I247)+COUNTA(K247:O247)=0,"",IF(ISNUMBER(K247),AND(K247=INT(K247),K247&gt;=1,K247&lt;=3),FALSE)+IF(ISNUMBER(L247),AND(L247=INT(L247),L247&gt;=1,L247&lt;=3),FALSE)+IF(ISNUMBER(M247),AND(M247=INT(M247),M247&gt;=1,M247&lt;=3),FALSE)+IF(ISNUMBER(N247),AND(N247=INT(N247),N247&gt;=1,N247&lt;=3),FALSE)+IF(ISNUMBER(O247),AND(O247=INT(O247),O247&gt;=1,O247&lt;=3),FALSE))</f>
        <v/>
      </c>
      <c r="Q247" s="38">
        <f>IF(P247=5,SUM(K247:O247),"")</f>
        <v/>
      </c>
      <c r="R247" s="38">
        <f>IF(P247="","",IF(P247&lt;5,"Pendente",IF(NOT(cad_limites_ok),"Pendente",IF(K247=3,"A",IF(Q247&gt;=cad_limite_a,"A",IF(Q247&gt;=cad_limite_b,"B","C"))))))</f>
        <v/>
      </c>
      <c r="S247" s="40">
        <f>IF(P247="","",IF(A247="","Pendente: falta o ID do ativo",IF(COUNTIF(at_id,A247)&gt;1,"ERRO: ID do ativo duplicado",IF(COUNTA(K247:O247)&gt;P247,"Pendente: nota inválida (use inteiro de 1 a 3)",IF(P247&lt;5,"Pendente: falta(m) "&amp;(5-P247)&amp;" nota(s)",IF(NOT(cad_limites_ok),"Pendente: corrija os limites A/B em Critérios",IF(K247=3,"A por Segurança = 3","Classe pela soma e limites")))))))</f>
        <v/>
      </c>
    </row>
    <row r="248">
      <c r="A248" s="36" t="n"/>
      <c r="B248" s="36" t="n"/>
      <c r="C248" s="37" t="n"/>
      <c r="D248" s="36" t="n"/>
      <c r="E248" s="38">
        <f>IF(D248="","",IFERROR(INDEX(lst_tipo_nome,MATCH(D248,lst_tipo_id,0)),"Tipo não cadastrado em Listas"))</f>
        <v/>
      </c>
      <c r="F248" s="36" t="n"/>
      <c r="G248" s="36" t="n"/>
      <c r="H248" s="36" t="n"/>
      <c r="I248" s="39" t="n"/>
      <c r="J248" s="38">
        <f>IF(OR(B248="",D248="",H248="",I248=""),"",IF(B248=H248&amp;"-"&amp;IFERROR(INDEX(lst_tipo_sigla,MATCH(D248,lst_tipo_id,0)),"???")&amp;"-"&amp;RIGHT("00"&amp;I248,3),"OK","Verificar: TAG difere de setor-sigla-número"))</f>
        <v/>
      </c>
      <c r="K248" s="39" t="n"/>
      <c r="L248" s="39" t="n"/>
      <c r="M248" s="39" t="n"/>
      <c r="N248" s="39" t="n"/>
      <c r="O248" s="39" t="n"/>
      <c r="P248" s="38">
        <f>IF(COUNTA(A248:D248)+COUNTA(F248:I248)+COUNTA(K248:O248)=0,"",IF(ISNUMBER(K248),AND(K248=INT(K248),K248&gt;=1,K248&lt;=3),FALSE)+IF(ISNUMBER(L248),AND(L248=INT(L248),L248&gt;=1,L248&lt;=3),FALSE)+IF(ISNUMBER(M248),AND(M248=INT(M248),M248&gt;=1,M248&lt;=3),FALSE)+IF(ISNUMBER(N248),AND(N248=INT(N248),N248&gt;=1,N248&lt;=3),FALSE)+IF(ISNUMBER(O248),AND(O248=INT(O248),O248&gt;=1,O248&lt;=3),FALSE))</f>
        <v/>
      </c>
      <c r="Q248" s="38">
        <f>IF(P248=5,SUM(K248:O248),"")</f>
        <v/>
      </c>
      <c r="R248" s="38">
        <f>IF(P248="","",IF(P248&lt;5,"Pendente",IF(NOT(cad_limites_ok),"Pendente",IF(K248=3,"A",IF(Q248&gt;=cad_limite_a,"A",IF(Q248&gt;=cad_limite_b,"B","C"))))))</f>
        <v/>
      </c>
      <c r="S248" s="40">
        <f>IF(P248="","",IF(A248="","Pendente: falta o ID do ativo",IF(COUNTIF(at_id,A248)&gt;1,"ERRO: ID do ativo duplicado",IF(COUNTA(K248:O248)&gt;P248,"Pendente: nota inválida (use inteiro de 1 a 3)",IF(P248&lt;5,"Pendente: falta(m) "&amp;(5-P248)&amp;" nota(s)",IF(NOT(cad_limites_ok),"Pendente: corrija os limites A/B em Critérios",IF(K248=3,"A por Segurança = 3","Classe pela soma e limites")))))))</f>
        <v/>
      </c>
    </row>
    <row r="249">
      <c r="A249" s="36" t="n"/>
      <c r="B249" s="36" t="n"/>
      <c r="C249" s="37" t="n"/>
      <c r="D249" s="36" t="n"/>
      <c r="E249" s="38">
        <f>IF(D249="","",IFERROR(INDEX(lst_tipo_nome,MATCH(D249,lst_tipo_id,0)),"Tipo não cadastrado em Listas"))</f>
        <v/>
      </c>
      <c r="F249" s="36" t="n"/>
      <c r="G249" s="36" t="n"/>
      <c r="H249" s="36" t="n"/>
      <c r="I249" s="39" t="n"/>
      <c r="J249" s="38">
        <f>IF(OR(B249="",D249="",H249="",I249=""),"",IF(B249=H249&amp;"-"&amp;IFERROR(INDEX(lst_tipo_sigla,MATCH(D249,lst_tipo_id,0)),"???")&amp;"-"&amp;RIGHT("00"&amp;I249,3),"OK","Verificar: TAG difere de setor-sigla-número"))</f>
        <v/>
      </c>
      <c r="K249" s="39" t="n"/>
      <c r="L249" s="39" t="n"/>
      <c r="M249" s="39" t="n"/>
      <c r="N249" s="39" t="n"/>
      <c r="O249" s="39" t="n"/>
      <c r="P249" s="38">
        <f>IF(COUNTA(A249:D249)+COUNTA(F249:I249)+COUNTA(K249:O249)=0,"",IF(ISNUMBER(K249),AND(K249=INT(K249),K249&gt;=1,K249&lt;=3),FALSE)+IF(ISNUMBER(L249),AND(L249=INT(L249),L249&gt;=1,L249&lt;=3),FALSE)+IF(ISNUMBER(M249),AND(M249=INT(M249),M249&gt;=1,M249&lt;=3),FALSE)+IF(ISNUMBER(N249),AND(N249=INT(N249),N249&gt;=1,N249&lt;=3),FALSE)+IF(ISNUMBER(O249),AND(O249=INT(O249),O249&gt;=1,O249&lt;=3),FALSE))</f>
        <v/>
      </c>
      <c r="Q249" s="38">
        <f>IF(P249=5,SUM(K249:O249),"")</f>
        <v/>
      </c>
      <c r="R249" s="38">
        <f>IF(P249="","",IF(P249&lt;5,"Pendente",IF(NOT(cad_limites_ok),"Pendente",IF(K249=3,"A",IF(Q249&gt;=cad_limite_a,"A",IF(Q249&gt;=cad_limite_b,"B","C"))))))</f>
        <v/>
      </c>
      <c r="S249" s="40">
        <f>IF(P249="","",IF(A249="","Pendente: falta o ID do ativo",IF(COUNTIF(at_id,A249)&gt;1,"ERRO: ID do ativo duplicado",IF(COUNTA(K249:O249)&gt;P249,"Pendente: nota inválida (use inteiro de 1 a 3)",IF(P249&lt;5,"Pendente: falta(m) "&amp;(5-P249)&amp;" nota(s)",IF(NOT(cad_limites_ok),"Pendente: corrija os limites A/B em Critérios",IF(K249=3,"A por Segurança = 3","Classe pela soma e limites")))))))</f>
        <v/>
      </c>
    </row>
    <row r="250">
      <c r="A250" s="36" t="n"/>
      <c r="B250" s="36" t="n"/>
      <c r="C250" s="37" t="n"/>
      <c r="D250" s="36" t="n"/>
      <c r="E250" s="38">
        <f>IF(D250="","",IFERROR(INDEX(lst_tipo_nome,MATCH(D250,lst_tipo_id,0)),"Tipo não cadastrado em Listas"))</f>
        <v/>
      </c>
      <c r="F250" s="36" t="n"/>
      <c r="G250" s="36" t="n"/>
      <c r="H250" s="36" t="n"/>
      <c r="I250" s="39" t="n"/>
      <c r="J250" s="38">
        <f>IF(OR(B250="",D250="",H250="",I250=""),"",IF(B250=H250&amp;"-"&amp;IFERROR(INDEX(lst_tipo_sigla,MATCH(D250,lst_tipo_id,0)),"???")&amp;"-"&amp;RIGHT("00"&amp;I250,3),"OK","Verificar: TAG difere de setor-sigla-número"))</f>
        <v/>
      </c>
      <c r="K250" s="39" t="n"/>
      <c r="L250" s="39" t="n"/>
      <c r="M250" s="39" t="n"/>
      <c r="N250" s="39" t="n"/>
      <c r="O250" s="39" t="n"/>
      <c r="P250" s="38">
        <f>IF(COUNTA(A250:D250)+COUNTA(F250:I250)+COUNTA(K250:O250)=0,"",IF(ISNUMBER(K250),AND(K250=INT(K250),K250&gt;=1,K250&lt;=3),FALSE)+IF(ISNUMBER(L250),AND(L250=INT(L250),L250&gt;=1,L250&lt;=3),FALSE)+IF(ISNUMBER(M250),AND(M250=INT(M250),M250&gt;=1,M250&lt;=3),FALSE)+IF(ISNUMBER(N250),AND(N250=INT(N250),N250&gt;=1,N250&lt;=3),FALSE)+IF(ISNUMBER(O250),AND(O250=INT(O250),O250&gt;=1,O250&lt;=3),FALSE))</f>
        <v/>
      </c>
      <c r="Q250" s="38">
        <f>IF(P250=5,SUM(K250:O250),"")</f>
        <v/>
      </c>
      <c r="R250" s="38">
        <f>IF(P250="","",IF(P250&lt;5,"Pendente",IF(NOT(cad_limites_ok),"Pendente",IF(K250=3,"A",IF(Q250&gt;=cad_limite_a,"A",IF(Q250&gt;=cad_limite_b,"B","C"))))))</f>
        <v/>
      </c>
      <c r="S250" s="40">
        <f>IF(P250="","",IF(A250="","Pendente: falta o ID do ativo",IF(COUNTIF(at_id,A250)&gt;1,"ERRO: ID do ativo duplicado",IF(COUNTA(K250:O250)&gt;P250,"Pendente: nota inválida (use inteiro de 1 a 3)",IF(P250&lt;5,"Pendente: falta(m) "&amp;(5-P250)&amp;" nota(s)",IF(NOT(cad_limites_ok),"Pendente: corrija os limites A/B em Critérios",IF(K250=3,"A por Segurança = 3","Classe pela soma e limites")))))))</f>
        <v/>
      </c>
    </row>
    <row r="251">
      <c r="A251" s="36" t="n"/>
      <c r="B251" s="36" t="n"/>
      <c r="C251" s="37" t="n"/>
      <c r="D251" s="36" t="n"/>
      <c r="E251" s="38">
        <f>IF(D251="","",IFERROR(INDEX(lst_tipo_nome,MATCH(D251,lst_tipo_id,0)),"Tipo não cadastrado em Listas"))</f>
        <v/>
      </c>
      <c r="F251" s="36" t="n"/>
      <c r="G251" s="36" t="n"/>
      <c r="H251" s="36" t="n"/>
      <c r="I251" s="39" t="n"/>
      <c r="J251" s="38">
        <f>IF(OR(B251="",D251="",H251="",I251=""),"",IF(B251=H251&amp;"-"&amp;IFERROR(INDEX(lst_tipo_sigla,MATCH(D251,lst_tipo_id,0)),"???")&amp;"-"&amp;RIGHT("00"&amp;I251,3),"OK","Verificar: TAG difere de setor-sigla-número"))</f>
        <v/>
      </c>
      <c r="K251" s="39" t="n"/>
      <c r="L251" s="39" t="n"/>
      <c r="M251" s="39" t="n"/>
      <c r="N251" s="39" t="n"/>
      <c r="O251" s="39" t="n"/>
      <c r="P251" s="38">
        <f>IF(COUNTA(A251:D251)+COUNTA(F251:I251)+COUNTA(K251:O251)=0,"",IF(ISNUMBER(K251),AND(K251=INT(K251),K251&gt;=1,K251&lt;=3),FALSE)+IF(ISNUMBER(L251),AND(L251=INT(L251),L251&gt;=1,L251&lt;=3),FALSE)+IF(ISNUMBER(M251),AND(M251=INT(M251),M251&gt;=1,M251&lt;=3),FALSE)+IF(ISNUMBER(N251),AND(N251=INT(N251),N251&gt;=1,N251&lt;=3),FALSE)+IF(ISNUMBER(O251),AND(O251=INT(O251),O251&gt;=1,O251&lt;=3),FALSE))</f>
        <v/>
      </c>
      <c r="Q251" s="38">
        <f>IF(P251=5,SUM(K251:O251),"")</f>
        <v/>
      </c>
      <c r="R251" s="38">
        <f>IF(P251="","",IF(P251&lt;5,"Pendente",IF(NOT(cad_limites_ok),"Pendente",IF(K251=3,"A",IF(Q251&gt;=cad_limite_a,"A",IF(Q251&gt;=cad_limite_b,"B","C"))))))</f>
        <v/>
      </c>
      <c r="S251" s="40">
        <f>IF(P251="","",IF(A251="","Pendente: falta o ID do ativo",IF(COUNTIF(at_id,A251)&gt;1,"ERRO: ID do ativo duplicado",IF(COUNTA(K251:O251)&gt;P251,"Pendente: nota inválida (use inteiro de 1 a 3)",IF(P251&lt;5,"Pendente: falta(m) "&amp;(5-P251)&amp;" nota(s)",IF(NOT(cad_limites_ok),"Pendente: corrija os limites A/B em Critérios",IF(K251=3,"A por Segurança = 3","Classe pela soma e limites")))))))</f>
        <v/>
      </c>
    </row>
    <row r="252">
      <c r="A252" s="36" t="n"/>
      <c r="B252" s="36" t="n"/>
      <c r="C252" s="37" t="n"/>
      <c r="D252" s="36" t="n"/>
      <c r="E252" s="38">
        <f>IF(D252="","",IFERROR(INDEX(lst_tipo_nome,MATCH(D252,lst_tipo_id,0)),"Tipo não cadastrado em Listas"))</f>
        <v/>
      </c>
      <c r="F252" s="36" t="n"/>
      <c r="G252" s="36" t="n"/>
      <c r="H252" s="36" t="n"/>
      <c r="I252" s="39" t="n"/>
      <c r="J252" s="38">
        <f>IF(OR(B252="",D252="",H252="",I252=""),"",IF(B252=H252&amp;"-"&amp;IFERROR(INDEX(lst_tipo_sigla,MATCH(D252,lst_tipo_id,0)),"???")&amp;"-"&amp;RIGHT("00"&amp;I252,3),"OK","Verificar: TAG difere de setor-sigla-número"))</f>
        <v/>
      </c>
      <c r="K252" s="39" t="n"/>
      <c r="L252" s="39" t="n"/>
      <c r="M252" s="39" t="n"/>
      <c r="N252" s="39" t="n"/>
      <c r="O252" s="39" t="n"/>
      <c r="P252" s="38">
        <f>IF(COUNTA(A252:D252)+COUNTA(F252:I252)+COUNTA(K252:O252)=0,"",IF(ISNUMBER(K252),AND(K252=INT(K252),K252&gt;=1,K252&lt;=3),FALSE)+IF(ISNUMBER(L252),AND(L252=INT(L252),L252&gt;=1,L252&lt;=3),FALSE)+IF(ISNUMBER(M252),AND(M252=INT(M252),M252&gt;=1,M252&lt;=3),FALSE)+IF(ISNUMBER(N252),AND(N252=INT(N252),N252&gt;=1,N252&lt;=3),FALSE)+IF(ISNUMBER(O252),AND(O252=INT(O252),O252&gt;=1,O252&lt;=3),FALSE))</f>
        <v/>
      </c>
      <c r="Q252" s="38">
        <f>IF(P252=5,SUM(K252:O252),"")</f>
        <v/>
      </c>
      <c r="R252" s="38">
        <f>IF(P252="","",IF(P252&lt;5,"Pendente",IF(NOT(cad_limites_ok),"Pendente",IF(K252=3,"A",IF(Q252&gt;=cad_limite_a,"A",IF(Q252&gt;=cad_limite_b,"B","C"))))))</f>
        <v/>
      </c>
      <c r="S252" s="40">
        <f>IF(P252="","",IF(A252="","Pendente: falta o ID do ativo",IF(COUNTIF(at_id,A252)&gt;1,"ERRO: ID do ativo duplicado",IF(COUNTA(K252:O252)&gt;P252,"Pendente: nota inválida (use inteiro de 1 a 3)",IF(P252&lt;5,"Pendente: falta(m) "&amp;(5-P252)&amp;" nota(s)",IF(NOT(cad_limites_ok),"Pendente: corrija os limites A/B em Critérios",IF(K252=3,"A por Segurança = 3","Classe pela soma e limites")))))))</f>
        <v/>
      </c>
    </row>
    <row r="253">
      <c r="A253" s="36" t="n"/>
      <c r="B253" s="36" t="n"/>
      <c r="C253" s="37" t="n"/>
      <c r="D253" s="36" t="n"/>
      <c r="E253" s="38">
        <f>IF(D253="","",IFERROR(INDEX(lst_tipo_nome,MATCH(D253,lst_tipo_id,0)),"Tipo não cadastrado em Listas"))</f>
        <v/>
      </c>
      <c r="F253" s="36" t="n"/>
      <c r="G253" s="36" t="n"/>
      <c r="H253" s="36" t="n"/>
      <c r="I253" s="39" t="n"/>
      <c r="J253" s="38">
        <f>IF(OR(B253="",D253="",H253="",I253=""),"",IF(B253=H253&amp;"-"&amp;IFERROR(INDEX(lst_tipo_sigla,MATCH(D253,lst_tipo_id,0)),"???")&amp;"-"&amp;RIGHT("00"&amp;I253,3),"OK","Verificar: TAG difere de setor-sigla-número"))</f>
        <v/>
      </c>
      <c r="K253" s="39" t="n"/>
      <c r="L253" s="39" t="n"/>
      <c r="M253" s="39" t="n"/>
      <c r="N253" s="39" t="n"/>
      <c r="O253" s="39" t="n"/>
      <c r="P253" s="38">
        <f>IF(COUNTA(A253:D253)+COUNTA(F253:I253)+COUNTA(K253:O253)=0,"",IF(ISNUMBER(K253),AND(K253=INT(K253),K253&gt;=1,K253&lt;=3),FALSE)+IF(ISNUMBER(L253),AND(L253=INT(L253),L253&gt;=1,L253&lt;=3),FALSE)+IF(ISNUMBER(M253),AND(M253=INT(M253),M253&gt;=1,M253&lt;=3),FALSE)+IF(ISNUMBER(N253),AND(N253=INT(N253),N253&gt;=1,N253&lt;=3),FALSE)+IF(ISNUMBER(O253),AND(O253=INT(O253),O253&gt;=1,O253&lt;=3),FALSE))</f>
        <v/>
      </c>
      <c r="Q253" s="38">
        <f>IF(P253=5,SUM(K253:O253),"")</f>
        <v/>
      </c>
      <c r="R253" s="38">
        <f>IF(P253="","",IF(P253&lt;5,"Pendente",IF(NOT(cad_limites_ok),"Pendente",IF(K253=3,"A",IF(Q253&gt;=cad_limite_a,"A",IF(Q253&gt;=cad_limite_b,"B","C"))))))</f>
        <v/>
      </c>
      <c r="S253" s="40">
        <f>IF(P253="","",IF(A253="","Pendente: falta o ID do ativo",IF(COUNTIF(at_id,A253)&gt;1,"ERRO: ID do ativo duplicado",IF(COUNTA(K253:O253)&gt;P253,"Pendente: nota inválida (use inteiro de 1 a 3)",IF(P253&lt;5,"Pendente: falta(m) "&amp;(5-P253)&amp;" nota(s)",IF(NOT(cad_limites_ok),"Pendente: corrija os limites A/B em Critérios",IF(K253=3,"A por Segurança = 3","Classe pela soma e limites")))))))</f>
        <v/>
      </c>
    </row>
    <row r="254">
      <c r="A254" s="36" t="n"/>
      <c r="B254" s="36" t="n"/>
      <c r="C254" s="37" t="n"/>
      <c r="D254" s="36" t="n"/>
      <c r="E254" s="38">
        <f>IF(D254="","",IFERROR(INDEX(lst_tipo_nome,MATCH(D254,lst_tipo_id,0)),"Tipo não cadastrado em Listas"))</f>
        <v/>
      </c>
      <c r="F254" s="36" t="n"/>
      <c r="G254" s="36" t="n"/>
      <c r="H254" s="36" t="n"/>
      <c r="I254" s="39" t="n"/>
      <c r="J254" s="38">
        <f>IF(OR(B254="",D254="",H254="",I254=""),"",IF(B254=H254&amp;"-"&amp;IFERROR(INDEX(lst_tipo_sigla,MATCH(D254,lst_tipo_id,0)),"???")&amp;"-"&amp;RIGHT("00"&amp;I254,3),"OK","Verificar: TAG difere de setor-sigla-número"))</f>
        <v/>
      </c>
      <c r="K254" s="39" t="n"/>
      <c r="L254" s="39" t="n"/>
      <c r="M254" s="39" t="n"/>
      <c r="N254" s="39" t="n"/>
      <c r="O254" s="39" t="n"/>
      <c r="P254" s="38">
        <f>IF(COUNTA(A254:D254)+COUNTA(F254:I254)+COUNTA(K254:O254)=0,"",IF(ISNUMBER(K254),AND(K254=INT(K254),K254&gt;=1,K254&lt;=3),FALSE)+IF(ISNUMBER(L254),AND(L254=INT(L254),L254&gt;=1,L254&lt;=3),FALSE)+IF(ISNUMBER(M254),AND(M254=INT(M254),M254&gt;=1,M254&lt;=3),FALSE)+IF(ISNUMBER(N254),AND(N254=INT(N254),N254&gt;=1,N254&lt;=3),FALSE)+IF(ISNUMBER(O254),AND(O254=INT(O254),O254&gt;=1,O254&lt;=3),FALSE))</f>
        <v/>
      </c>
      <c r="Q254" s="38">
        <f>IF(P254=5,SUM(K254:O254),"")</f>
        <v/>
      </c>
      <c r="R254" s="38">
        <f>IF(P254="","",IF(P254&lt;5,"Pendente",IF(NOT(cad_limites_ok),"Pendente",IF(K254=3,"A",IF(Q254&gt;=cad_limite_a,"A",IF(Q254&gt;=cad_limite_b,"B","C"))))))</f>
        <v/>
      </c>
      <c r="S254" s="40">
        <f>IF(P254="","",IF(A254="","Pendente: falta o ID do ativo",IF(COUNTIF(at_id,A254)&gt;1,"ERRO: ID do ativo duplicado",IF(COUNTA(K254:O254)&gt;P254,"Pendente: nota inválida (use inteiro de 1 a 3)",IF(P254&lt;5,"Pendente: falta(m) "&amp;(5-P254)&amp;" nota(s)",IF(NOT(cad_limites_ok),"Pendente: corrija os limites A/B em Critérios",IF(K254=3,"A por Segurança = 3","Classe pela soma e limites")))))))</f>
        <v/>
      </c>
    </row>
    <row r="255">
      <c r="A255" s="36" t="n"/>
      <c r="B255" s="36" t="n"/>
      <c r="C255" s="37" t="n"/>
      <c r="D255" s="36" t="n"/>
      <c r="E255" s="38">
        <f>IF(D255="","",IFERROR(INDEX(lst_tipo_nome,MATCH(D255,lst_tipo_id,0)),"Tipo não cadastrado em Listas"))</f>
        <v/>
      </c>
      <c r="F255" s="36" t="n"/>
      <c r="G255" s="36" t="n"/>
      <c r="H255" s="36" t="n"/>
      <c r="I255" s="39" t="n"/>
      <c r="J255" s="38">
        <f>IF(OR(B255="",D255="",H255="",I255=""),"",IF(B255=H255&amp;"-"&amp;IFERROR(INDEX(lst_tipo_sigla,MATCH(D255,lst_tipo_id,0)),"???")&amp;"-"&amp;RIGHT("00"&amp;I255,3),"OK","Verificar: TAG difere de setor-sigla-número"))</f>
        <v/>
      </c>
      <c r="K255" s="39" t="n"/>
      <c r="L255" s="39" t="n"/>
      <c r="M255" s="39" t="n"/>
      <c r="N255" s="39" t="n"/>
      <c r="O255" s="39" t="n"/>
      <c r="P255" s="38">
        <f>IF(COUNTA(A255:D255)+COUNTA(F255:I255)+COUNTA(K255:O255)=0,"",IF(ISNUMBER(K255),AND(K255=INT(K255),K255&gt;=1,K255&lt;=3),FALSE)+IF(ISNUMBER(L255),AND(L255=INT(L255),L255&gt;=1,L255&lt;=3),FALSE)+IF(ISNUMBER(M255),AND(M255=INT(M255),M255&gt;=1,M255&lt;=3),FALSE)+IF(ISNUMBER(N255),AND(N255=INT(N255),N255&gt;=1,N255&lt;=3),FALSE)+IF(ISNUMBER(O255),AND(O255=INT(O255),O255&gt;=1,O255&lt;=3),FALSE))</f>
        <v/>
      </c>
      <c r="Q255" s="38">
        <f>IF(P255=5,SUM(K255:O255),"")</f>
        <v/>
      </c>
      <c r="R255" s="38">
        <f>IF(P255="","",IF(P255&lt;5,"Pendente",IF(NOT(cad_limites_ok),"Pendente",IF(K255=3,"A",IF(Q255&gt;=cad_limite_a,"A",IF(Q255&gt;=cad_limite_b,"B","C"))))))</f>
        <v/>
      </c>
      <c r="S255" s="40">
        <f>IF(P255="","",IF(A255="","Pendente: falta o ID do ativo",IF(COUNTIF(at_id,A255)&gt;1,"ERRO: ID do ativo duplicado",IF(COUNTA(K255:O255)&gt;P255,"Pendente: nota inválida (use inteiro de 1 a 3)",IF(P255&lt;5,"Pendente: falta(m) "&amp;(5-P255)&amp;" nota(s)",IF(NOT(cad_limites_ok),"Pendente: corrija os limites A/B em Critérios",IF(K255=3,"A por Segurança = 3","Classe pela soma e limites")))))))</f>
        <v/>
      </c>
    </row>
    <row r="256">
      <c r="A256" s="36" t="n"/>
      <c r="B256" s="36" t="n"/>
      <c r="C256" s="37" t="n"/>
      <c r="D256" s="36" t="n"/>
      <c r="E256" s="38">
        <f>IF(D256="","",IFERROR(INDEX(lst_tipo_nome,MATCH(D256,lst_tipo_id,0)),"Tipo não cadastrado em Listas"))</f>
        <v/>
      </c>
      <c r="F256" s="36" t="n"/>
      <c r="G256" s="36" t="n"/>
      <c r="H256" s="36" t="n"/>
      <c r="I256" s="39" t="n"/>
      <c r="J256" s="38">
        <f>IF(OR(B256="",D256="",H256="",I256=""),"",IF(B256=H256&amp;"-"&amp;IFERROR(INDEX(lst_tipo_sigla,MATCH(D256,lst_tipo_id,0)),"???")&amp;"-"&amp;RIGHT("00"&amp;I256,3),"OK","Verificar: TAG difere de setor-sigla-número"))</f>
        <v/>
      </c>
      <c r="K256" s="39" t="n"/>
      <c r="L256" s="39" t="n"/>
      <c r="M256" s="39" t="n"/>
      <c r="N256" s="39" t="n"/>
      <c r="O256" s="39" t="n"/>
      <c r="P256" s="38">
        <f>IF(COUNTA(A256:D256)+COUNTA(F256:I256)+COUNTA(K256:O256)=0,"",IF(ISNUMBER(K256),AND(K256=INT(K256),K256&gt;=1,K256&lt;=3),FALSE)+IF(ISNUMBER(L256),AND(L256=INT(L256),L256&gt;=1,L256&lt;=3),FALSE)+IF(ISNUMBER(M256),AND(M256=INT(M256),M256&gt;=1,M256&lt;=3),FALSE)+IF(ISNUMBER(N256),AND(N256=INT(N256),N256&gt;=1,N256&lt;=3),FALSE)+IF(ISNUMBER(O256),AND(O256=INT(O256),O256&gt;=1,O256&lt;=3),FALSE))</f>
        <v/>
      </c>
      <c r="Q256" s="38">
        <f>IF(P256=5,SUM(K256:O256),"")</f>
        <v/>
      </c>
      <c r="R256" s="38">
        <f>IF(P256="","",IF(P256&lt;5,"Pendente",IF(NOT(cad_limites_ok),"Pendente",IF(K256=3,"A",IF(Q256&gt;=cad_limite_a,"A",IF(Q256&gt;=cad_limite_b,"B","C"))))))</f>
        <v/>
      </c>
      <c r="S256" s="40">
        <f>IF(P256="","",IF(A256="","Pendente: falta o ID do ativo",IF(COUNTIF(at_id,A256)&gt;1,"ERRO: ID do ativo duplicado",IF(COUNTA(K256:O256)&gt;P256,"Pendente: nota inválida (use inteiro de 1 a 3)",IF(P256&lt;5,"Pendente: falta(m) "&amp;(5-P256)&amp;" nota(s)",IF(NOT(cad_limites_ok),"Pendente: corrija os limites A/B em Critérios",IF(K256=3,"A por Segurança = 3","Classe pela soma e limites")))))))</f>
        <v/>
      </c>
    </row>
    <row r="257">
      <c r="A257" s="36" t="n"/>
      <c r="B257" s="36" t="n"/>
      <c r="C257" s="37" t="n"/>
      <c r="D257" s="36" t="n"/>
      <c r="E257" s="38">
        <f>IF(D257="","",IFERROR(INDEX(lst_tipo_nome,MATCH(D257,lst_tipo_id,0)),"Tipo não cadastrado em Listas"))</f>
        <v/>
      </c>
      <c r="F257" s="36" t="n"/>
      <c r="G257" s="36" t="n"/>
      <c r="H257" s="36" t="n"/>
      <c r="I257" s="39" t="n"/>
      <c r="J257" s="38">
        <f>IF(OR(B257="",D257="",H257="",I257=""),"",IF(B257=H257&amp;"-"&amp;IFERROR(INDEX(lst_tipo_sigla,MATCH(D257,lst_tipo_id,0)),"???")&amp;"-"&amp;RIGHT("00"&amp;I257,3),"OK","Verificar: TAG difere de setor-sigla-número"))</f>
        <v/>
      </c>
      <c r="K257" s="39" t="n"/>
      <c r="L257" s="39" t="n"/>
      <c r="M257" s="39" t="n"/>
      <c r="N257" s="39" t="n"/>
      <c r="O257" s="39" t="n"/>
      <c r="P257" s="38">
        <f>IF(COUNTA(A257:D257)+COUNTA(F257:I257)+COUNTA(K257:O257)=0,"",IF(ISNUMBER(K257),AND(K257=INT(K257),K257&gt;=1,K257&lt;=3),FALSE)+IF(ISNUMBER(L257),AND(L257=INT(L257),L257&gt;=1,L257&lt;=3),FALSE)+IF(ISNUMBER(M257),AND(M257=INT(M257),M257&gt;=1,M257&lt;=3),FALSE)+IF(ISNUMBER(N257),AND(N257=INT(N257),N257&gt;=1,N257&lt;=3),FALSE)+IF(ISNUMBER(O257),AND(O257=INT(O257),O257&gt;=1,O257&lt;=3),FALSE))</f>
        <v/>
      </c>
      <c r="Q257" s="38">
        <f>IF(P257=5,SUM(K257:O257),"")</f>
        <v/>
      </c>
      <c r="R257" s="38">
        <f>IF(P257="","",IF(P257&lt;5,"Pendente",IF(NOT(cad_limites_ok),"Pendente",IF(K257=3,"A",IF(Q257&gt;=cad_limite_a,"A",IF(Q257&gt;=cad_limite_b,"B","C"))))))</f>
        <v/>
      </c>
      <c r="S257" s="40">
        <f>IF(P257="","",IF(A257="","Pendente: falta o ID do ativo",IF(COUNTIF(at_id,A257)&gt;1,"ERRO: ID do ativo duplicado",IF(COUNTA(K257:O257)&gt;P257,"Pendente: nota inválida (use inteiro de 1 a 3)",IF(P257&lt;5,"Pendente: falta(m) "&amp;(5-P257)&amp;" nota(s)",IF(NOT(cad_limites_ok),"Pendente: corrija os limites A/B em Critérios",IF(K257=3,"A por Segurança = 3","Classe pela soma e limites")))))))</f>
        <v/>
      </c>
    </row>
    <row r="258">
      <c r="A258" s="36" t="n"/>
      <c r="B258" s="36" t="n"/>
      <c r="C258" s="37" t="n"/>
      <c r="D258" s="36" t="n"/>
      <c r="E258" s="38">
        <f>IF(D258="","",IFERROR(INDEX(lst_tipo_nome,MATCH(D258,lst_tipo_id,0)),"Tipo não cadastrado em Listas"))</f>
        <v/>
      </c>
      <c r="F258" s="36" t="n"/>
      <c r="G258" s="36" t="n"/>
      <c r="H258" s="36" t="n"/>
      <c r="I258" s="39" t="n"/>
      <c r="J258" s="38">
        <f>IF(OR(B258="",D258="",H258="",I258=""),"",IF(B258=H258&amp;"-"&amp;IFERROR(INDEX(lst_tipo_sigla,MATCH(D258,lst_tipo_id,0)),"???")&amp;"-"&amp;RIGHT("00"&amp;I258,3),"OK","Verificar: TAG difere de setor-sigla-número"))</f>
        <v/>
      </c>
      <c r="K258" s="39" t="n"/>
      <c r="L258" s="39" t="n"/>
      <c r="M258" s="39" t="n"/>
      <c r="N258" s="39" t="n"/>
      <c r="O258" s="39" t="n"/>
      <c r="P258" s="38">
        <f>IF(COUNTA(A258:D258)+COUNTA(F258:I258)+COUNTA(K258:O258)=0,"",IF(ISNUMBER(K258),AND(K258=INT(K258),K258&gt;=1,K258&lt;=3),FALSE)+IF(ISNUMBER(L258),AND(L258=INT(L258),L258&gt;=1,L258&lt;=3),FALSE)+IF(ISNUMBER(M258),AND(M258=INT(M258),M258&gt;=1,M258&lt;=3),FALSE)+IF(ISNUMBER(N258),AND(N258=INT(N258),N258&gt;=1,N258&lt;=3),FALSE)+IF(ISNUMBER(O258),AND(O258=INT(O258),O258&gt;=1,O258&lt;=3),FALSE))</f>
        <v/>
      </c>
      <c r="Q258" s="38">
        <f>IF(P258=5,SUM(K258:O258),"")</f>
        <v/>
      </c>
      <c r="R258" s="38">
        <f>IF(P258="","",IF(P258&lt;5,"Pendente",IF(NOT(cad_limites_ok),"Pendente",IF(K258=3,"A",IF(Q258&gt;=cad_limite_a,"A",IF(Q258&gt;=cad_limite_b,"B","C"))))))</f>
        <v/>
      </c>
      <c r="S258" s="40">
        <f>IF(P258="","",IF(A258="","Pendente: falta o ID do ativo",IF(COUNTIF(at_id,A258)&gt;1,"ERRO: ID do ativo duplicado",IF(COUNTA(K258:O258)&gt;P258,"Pendente: nota inválida (use inteiro de 1 a 3)",IF(P258&lt;5,"Pendente: falta(m) "&amp;(5-P258)&amp;" nota(s)",IF(NOT(cad_limites_ok),"Pendente: corrija os limites A/B em Critérios",IF(K258=3,"A por Segurança = 3","Classe pela soma e limites")))))))</f>
        <v/>
      </c>
    </row>
    <row r="259">
      <c r="A259" s="36" t="n"/>
      <c r="B259" s="36" t="n"/>
      <c r="C259" s="37" t="n"/>
      <c r="D259" s="36" t="n"/>
      <c r="E259" s="38">
        <f>IF(D259="","",IFERROR(INDEX(lst_tipo_nome,MATCH(D259,lst_tipo_id,0)),"Tipo não cadastrado em Listas"))</f>
        <v/>
      </c>
      <c r="F259" s="36" t="n"/>
      <c r="G259" s="36" t="n"/>
      <c r="H259" s="36" t="n"/>
      <c r="I259" s="39" t="n"/>
      <c r="J259" s="38">
        <f>IF(OR(B259="",D259="",H259="",I259=""),"",IF(B259=H259&amp;"-"&amp;IFERROR(INDEX(lst_tipo_sigla,MATCH(D259,lst_tipo_id,0)),"???")&amp;"-"&amp;RIGHT("00"&amp;I259,3),"OK","Verificar: TAG difere de setor-sigla-número"))</f>
        <v/>
      </c>
      <c r="K259" s="39" t="n"/>
      <c r="L259" s="39" t="n"/>
      <c r="M259" s="39" t="n"/>
      <c r="N259" s="39" t="n"/>
      <c r="O259" s="39" t="n"/>
      <c r="P259" s="38">
        <f>IF(COUNTA(A259:D259)+COUNTA(F259:I259)+COUNTA(K259:O259)=0,"",IF(ISNUMBER(K259),AND(K259=INT(K259),K259&gt;=1,K259&lt;=3),FALSE)+IF(ISNUMBER(L259),AND(L259=INT(L259),L259&gt;=1,L259&lt;=3),FALSE)+IF(ISNUMBER(M259),AND(M259=INT(M259),M259&gt;=1,M259&lt;=3),FALSE)+IF(ISNUMBER(N259),AND(N259=INT(N259),N259&gt;=1,N259&lt;=3),FALSE)+IF(ISNUMBER(O259),AND(O259=INT(O259),O259&gt;=1,O259&lt;=3),FALSE))</f>
        <v/>
      </c>
      <c r="Q259" s="38">
        <f>IF(P259=5,SUM(K259:O259),"")</f>
        <v/>
      </c>
      <c r="R259" s="38">
        <f>IF(P259="","",IF(P259&lt;5,"Pendente",IF(NOT(cad_limites_ok),"Pendente",IF(K259=3,"A",IF(Q259&gt;=cad_limite_a,"A",IF(Q259&gt;=cad_limite_b,"B","C"))))))</f>
        <v/>
      </c>
      <c r="S259" s="40">
        <f>IF(P259="","",IF(A259="","Pendente: falta o ID do ativo",IF(COUNTIF(at_id,A259)&gt;1,"ERRO: ID do ativo duplicado",IF(COUNTA(K259:O259)&gt;P259,"Pendente: nota inválida (use inteiro de 1 a 3)",IF(P259&lt;5,"Pendente: falta(m) "&amp;(5-P259)&amp;" nota(s)",IF(NOT(cad_limites_ok),"Pendente: corrija os limites A/B em Critérios",IF(K259=3,"A por Segurança = 3","Classe pela soma e limites")))))))</f>
        <v/>
      </c>
    </row>
    <row r="260">
      <c r="A260" s="36" t="n"/>
      <c r="B260" s="36" t="n"/>
      <c r="C260" s="37" t="n"/>
      <c r="D260" s="36" t="n"/>
      <c r="E260" s="38">
        <f>IF(D260="","",IFERROR(INDEX(lst_tipo_nome,MATCH(D260,lst_tipo_id,0)),"Tipo não cadastrado em Listas"))</f>
        <v/>
      </c>
      <c r="F260" s="36" t="n"/>
      <c r="G260" s="36" t="n"/>
      <c r="H260" s="36" t="n"/>
      <c r="I260" s="39" t="n"/>
      <c r="J260" s="38">
        <f>IF(OR(B260="",D260="",H260="",I260=""),"",IF(B260=H260&amp;"-"&amp;IFERROR(INDEX(lst_tipo_sigla,MATCH(D260,lst_tipo_id,0)),"???")&amp;"-"&amp;RIGHT("00"&amp;I260,3),"OK","Verificar: TAG difere de setor-sigla-número"))</f>
        <v/>
      </c>
      <c r="K260" s="39" t="n"/>
      <c r="L260" s="39" t="n"/>
      <c r="M260" s="39" t="n"/>
      <c r="N260" s="39" t="n"/>
      <c r="O260" s="39" t="n"/>
      <c r="P260" s="38">
        <f>IF(COUNTA(A260:D260)+COUNTA(F260:I260)+COUNTA(K260:O260)=0,"",IF(ISNUMBER(K260),AND(K260=INT(K260),K260&gt;=1,K260&lt;=3),FALSE)+IF(ISNUMBER(L260),AND(L260=INT(L260),L260&gt;=1,L260&lt;=3),FALSE)+IF(ISNUMBER(M260),AND(M260=INT(M260),M260&gt;=1,M260&lt;=3),FALSE)+IF(ISNUMBER(N260),AND(N260=INT(N260),N260&gt;=1,N260&lt;=3),FALSE)+IF(ISNUMBER(O260),AND(O260=INT(O260),O260&gt;=1,O260&lt;=3),FALSE))</f>
        <v/>
      </c>
      <c r="Q260" s="38">
        <f>IF(P260=5,SUM(K260:O260),"")</f>
        <v/>
      </c>
      <c r="R260" s="38">
        <f>IF(P260="","",IF(P260&lt;5,"Pendente",IF(NOT(cad_limites_ok),"Pendente",IF(K260=3,"A",IF(Q260&gt;=cad_limite_a,"A",IF(Q260&gt;=cad_limite_b,"B","C"))))))</f>
        <v/>
      </c>
      <c r="S260" s="40">
        <f>IF(P260="","",IF(A260="","Pendente: falta o ID do ativo",IF(COUNTIF(at_id,A260)&gt;1,"ERRO: ID do ativo duplicado",IF(COUNTA(K260:O260)&gt;P260,"Pendente: nota inválida (use inteiro de 1 a 3)",IF(P260&lt;5,"Pendente: falta(m) "&amp;(5-P260)&amp;" nota(s)",IF(NOT(cad_limites_ok),"Pendente: corrija os limites A/B em Critérios",IF(K260=3,"A por Segurança = 3","Classe pela soma e limites")))))))</f>
        <v/>
      </c>
    </row>
    <row r="261">
      <c r="A261" s="36" t="n"/>
      <c r="B261" s="36" t="n"/>
      <c r="C261" s="37" t="n"/>
      <c r="D261" s="36" t="n"/>
      <c r="E261" s="38">
        <f>IF(D261="","",IFERROR(INDEX(lst_tipo_nome,MATCH(D261,lst_tipo_id,0)),"Tipo não cadastrado em Listas"))</f>
        <v/>
      </c>
      <c r="F261" s="36" t="n"/>
      <c r="G261" s="36" t="n"/>
      <c r="H261" s="36" t="n"/>
      <c r="I261" s="39" t="n"/>
      <c r="J261" s="38">
        <f>IF(OR(B261="",D261="",H261="",I261=""),"",IF(B261=H261&amp;"-"&amp;IFERROR(INDEX(lst_tipo_sigla,MATCH(D261,lst_tipo_id,0)),"???")&amp;"-"&amp;RIGHT("00"&amp;I261,3),"OK","Verificar: TAG difere de setor-sigla-número"))</f>
        <v/>
      </c>
      <c r="K261" s="39" t="n"/>
      <c r="L261" s="39" t="n"/>
      <c r="M261" s="39" t="n"/>
      <c r="N261" s="39" t="n"/>
      <c r="O261" s="39" t="n"/>
      <c r="P261" s="38">
        <f>IF(COUNTA(A261:D261)+COUNTA(F261:I261)+COUNTA(K261:O261)=0,"",IF(ISNUMBER(K261),AND(K261=INT(K261),K261&gt;=1,K261&lt;=3),FALSE)+IF(ISNUMBER(L261),AND(L261=INT(L261),L261&gt;=1,L261&lt;=3),FALSE)+IF(ISNUMBER(M261),AND(M261=INT(M261),M261&gt;=1,M261&lt;=3),FALSE)+IF(ISNUMBER(N261),AND(N261=INT(N261),N261&gt;=1,N261&lt;=3),FALSE)+IF(ISNUMBER(O261),AND(O261=INT(O261),O261&gt;=1,O261&lt;=3),FALSE))</f>
        <v/>
      </c>
      <c r="Q261" s="38">
        <f>IF(P261=5,SUM(K261:O261),"")</f>
        <v/>
      </c>
      <c r="R261" s="38">
        <f>IF(P261="","",IF(P261&lt;5,"Pendente",IF(NOT(cad_limites_ok),"Pendente",IF(K261=3,"A",IF(Q261&gt;=cad_limite_a,"A",IF(Q261&gt;=cad_limite_b,"B","C"))))))</f>
        <v/>
      </c>
      <c r="S261" s="40">
        <f>IF(P261="","",IF(A261="","Pendente: falta o ID do ativo",IF(COUNTIF(at_id,A261)&gt;1,"ERRO: ID do ativo duplicado",IF(COUNTA(K261:O261)&gt;P261,"Pendente: nota inválida (use inteiro de 1 a 3)",IF(P261&lt;5,"Pendente: falta(m) "&amp;(5-P261)&amp;" nota(s)",IF(NOT(cad_limites_ok),"Pendente: corrija os limites A/B em Critérios",IF(K261=3,"A por Segurança = 3","Classe pela soma e limites")))))))</f>
        <v/>
      </c>
    </row>
    <row r="262">
      <c r="A262" s="36" t="n"/>
      <c r="B262" s="36" t="n"/>
      <c r="C262" s="37" t="n"/>
      <c r="D262" s="36" t="n"/>
      <c r="E262" s="38">
        <f>IF(D262="","",IFERROR(INDEX(lst_tipo_nome,MATCH(D262,lst_tipo_id,0)),"Tipo não cadastrado em Listas"))</f>
        <v/>
      </c>
      <c r="F262" s="36" t="n"/>
      <c r="G262" s="36" t="n"/>
      <c r="H262" s="36" t="n"/>
      <c r="I262" s="39" t="n"/>
      <c r="J262" s="38">
        <f>IF(OR(B262="",D262="",H262="",I262=""),"",IF(B262=H262&amp;"-"&amp;IFERROR(INDEX(lst_tipo_sigla,MATCH(D262,lst_tipo_id,0)),"???")&amp;"-"&amp;RIGHT("00"&amp;I262,3),"OK","Verificar: TAG difere de setor-sigla-número"))</f>
        <v/>
      </c>
      <c r="K262" s="39" t="n"/>
      <c r="L262" s="39" t="n"/>
      <c r="M262" s="39" t="n"/>
      <c r="N262" s="39" t="n"/>
      <c r="O262" s="39" t="n"/>
      <c r="P262" s="38">
        <f>IF(COUNTA(A262:D262)+COUNTA(F262:I262)+COUNTA(K262:O262)=0,"",IF(ISNUMBER(K262),AND(K262=INT(K262),K262&gt;=1,K262&lt;=3),FALSE)+IF(ISNUMBER(L262),AND(L262=INT(L262),L262&gt;=1,L262&lt;=3),FALSE)+IF(ISNUMBER(M262),AND(M262=INT(M262),M262&gt;=1,M262&lt;=3),FALSE)+IF(ISNUMBER(N262),AND(N262=INT(N262),N262&gt;=1,N262&lt;=3),FALSE)+IF(ISNUMBER(O262),AND(O262=INT(O262),O262&gt;=1,O262&lt;=3),FALSE))</f>
        <v/>
      </c>
      <c r="Q262" s="38">
        <f>IF(P262=5,SUM(K262:O262),"")</f>
        <v/>
      </c>
      <c r="R262" s="38">
        <f>IF(P262="","",IF(P262&lt;5,"Pendente",IF(NOT(cad_limites_ok),"Pendente",IF(K262=3,"A",IF(Q262&gt;=cad_limite_a,"A",IF(Q262&gt;=cad_limite_b,"B","C"))))))</f>
        <v/>
      </c>
      <c r="S262" s="40">
        <f>IF(P262="","",IF(A262="","Pendente: falta o ID do ativo",IF(COUNTIF(at_id,A262)&gt;1,"ERRO: ID do ativo duplicado",IF(COUNTA(K262:O262)&gt;P262,"Pendente: nota inválida (use inteiro de 1 a 3)",IF(P262&lt;5,"Pendente: falta(m) "&amp;(5-P262)&amp;" nota(s)",IF(NOT(cad_limites_ok),"Pendente: corrija os limites A/B em Critérios",IF(K262=3,"A por Segurança = 3","Classe pela soma e limites")))))))</f>
        <v/>
      </c>
    </row>
    <row r="263">
      <c r="A263" s="36" t="n"/>
      <c r="B263" s="36" t="n"/>
      <c r="C263" s="37" t="n"/>
      <c r="D263" s="36" t="n"/>
      <c r="E263" s="38">
        <f>IF(D263="","",IFERROR(INDEX(lst_tipo_nome,MATCH(D263,lst_tipo_id,0)),"Tipo não cadastrado em Listas"))</f>
        <v/>
      </c>
      <c r="F263" s="36" t="n"/>
      <c r="G263" s="36" t="n"/>
      <c r="H263" s="36" t="n"/>
      <c r="I263" s="39" t="n"/>
      <c r="J263" s="38">
        <f>IF(OR(B263="",D263="",H263="",I263=""),"",IF(B263=H263&amp;"-"&amp;IFERROR(INDEX(lst_tipo_sigla,MATCH(D263,lst_tipo_id,0)),"???")&amp;"-"&amp;RIGHT("00"&amp;I263,3),"OK","Verificar: TAG difere de setor-sigla-número"))</f>
        <v/>
      </c>
      <c r="K263" s="39" t="n"/>
      <c r="L263" s="39" t="n"/>
      <c r="M263" s="39" t="n"/>
      <c r="N263" s="39" t="n"/>
      <c r="O263" s="39" t="n"/>
      <c r="P263" s="38">
        <f>IF(COUNTA(A263:D263)+COUNTA(F263:I263)+COUNTA(K263:O263)=0,"",IF(ISNUMBER(K263),AND(K263=INT(K263),K263&gt;=1,K263&lt;=3),FALSE)+IF(ISNUMBER(L263),AND(L263=INT(L263),L263&gt;=1,L263&lt;=3),FALSE)+IF(ISNUMBER(M263),AND(M263=INT(M263),M263&gt;=1,M263&lt;=3),FALSE)+IF(ISNUMBER(N263),AND(N263=INT(N263),N263&gt;=1,N263&lt;=3),FALSE)+IF(ISNUMBER(O263),AND(O263=INT(O263),O263&gt;=1,O263&lt;=3),FALSE))</f>
        <v/>
      </c>
      <c r="Q263" s="38">
        <f>IF(P263=5,SUM(K263:O263),"")</f>
        <v/>
      </c>
      <c r="R263" s="38">
        <f>IF(P263="","",IF(P263&lt;5,"Pendente",IF(NOT(cad_limites_ok),"Pendente",IF(K263=3,"A",IF(Q263&gt;=cad_limite_a,"A",IF(Q263&gt;=cad_limite_b,"B","C"))))))</f>
        <v/>
      </c>
      <c r="S263" s="40">
        <f>IF(P263="","",IF(A263="","Pendente: falta o ID do ativo",IF(COUNTIF(at_id,A263)&gt;1,"ERRO: ID do ativo duplicado",IF(COUNTA(K263:O263)&gt;P263,"Pendente: nota inválida (use inteiro de 1 a 3)",IF(P263&lt;5,"Pendente: falta(m) "&amp;(5-P263)&amp;" nota(s)",IF(NOT(cad_limites_ok),"Pendente: corrija os limites A/B em Critérios",IF(K263=3,"A por Segurança = 3","Classe pela soma e limites")))))))</f>
        <v/>
      </c>
    </row>
    <row r="264">
      <c r="A264" s="36" t="n"/>
      <c r="B264" s="36" t="n"/>
      <c r="C264" s="37" t="n"/>
      <c r="D264" s="36" t="n"/>
      <c r="E264" s="38">
        <f>IF(D264="","",IFERROR(INDEX(lst_tipo_nome,MATCH(D264,lst_tipo_id,0)),"Tipo não cadastrado em Listas"))</f>
        <v/>
      </c>
      <c r="F264" s="36" t="n"/>
      <c r="G264" s="36" t="n"/>
      <c r="H264" s="36" t="n"/>
      <c r="I264" s="39" t="n"/>
      <c r="J264" s="38">
        <f>IF(OR(B264="",D264="",H264="",I264=""),"",IF(B264=H264&amp;"-"&amp;IFERROR(INDEX(lst_tipo_sigla,MATCH(D264,lst_tipo_id,0)),"???")&amp;"-"&amp;RIGHT("00"&amp;I264,3),"OK","Verificar: TAG difere de setor-sigla-número"))</f>
        <v/>
      </c>
      <c r="K264" s="39" t="n"/>
      <c r="L264" s="39" t="n"/>
      <c r="M264" s="39" t="n"/>
      <c r="N264" s="39" t="n"/>
      <c r="O264" s="39" t="n"/>
      <c r="P264" s="38">
        <f>IF(COUNTA(A264:D264)+COUNTA(F264:I264)+COUNTA(K264:O264)=0,"",IF(ISNUMBER(K264),AND(K264=INT(K264),K264&gt;=1,K264&lt;=3),FALSE)+IF(ISNUMBER(L264),AND(L264=INT(L264),L264&gt;=1,L264&lt;=3),FALSE)+IF(ISNUMBER(M264),AND(M264=INT(M264),M264&gt;=1,M264&lt;=3),FALSE)+IF(ISNUMBER(N264),AND(N264=INT(N264),N264&gt;=1,N264&lt;=3),FALSE)+IF(ISNUMBER(O264),AND(O264=INT(O264),O264&gt;=1,O264&lt;=3),FALSE))</f>
        <v/>
      </c>
      <c r="Q264" s="38">
        <f>IF(P264=5,SUM(K264:O264),"")</f>
        <v/>
      </c>
      <c r="R264" s="38">
        <f>IF(P264="","",IF(P264&lt;5,"Pendente",IF(NOT(cad_limites_ok),"Pendente",IF(K264=3,"A",IF(Q264&gt;=cad_limite_a,"A",IF(Q264&gt;=cad_limite_b,"B","C"))))))</f>
        <v/>
      </c>
      <c r="S264" s="40">
        <f>IF(P264="","",IF(A264="","Pendente: falta o ID do ativo",IF(COUNTIF(at_id,A264)&gt;1,"ERRO: ID do ativo duplicado",IF(COUNTA(K264:O264)&gt;P264,"Pendente: nota inválida (use inteiro de 1 a 3)",IF(P264&lt;5,"Pendente: falta(m) "&amp;(5-P264)&amp;" nota(s)",IF(NOT(cad_limites_ok),"Pendente: corrija os limites A/B em Critérios",IF(K264=3,"A por Segurança = 3","Classe pela soma e limites")))))))</f>
        <v/>
      </c>
    </row>
    <row r="265">
      <c r="A265" s="36" t="n"/>
      <c r="B265" s="36" t="n"/>
      <c r="C265" s="37" t="n"/>
      <c r="D265" s="36" t="n"/>
      <c r="E265" s="38">
        <f>IF(D265="","",IFERROR(INDEX(lst_tipo_nome,MATCH(D265,lst_tipo_id,0)),"Tipo não cadastrado em Listas"))</f>
        <v/>
      </c>
      <c r="F265" s="36" t="n"/>
      <c r="G265" s="36" t="n"/>
      <c r="H265" s="36" t="n"/>
      <c r="I265" s="39" t="n"/>
      <c r="J265" s="38">
        <f>IF(OR(B265="",D265="",H265="",I265=""),"",IF(B265=H265&amp;"-"&amp;IFERROR(INDEX(lst_tipo_sigla,MATCH(D265,lst_tipo_id,0)),"???")&amp;"-"&amp;RIGHT("00"&amp;I265,3),"OK","Verificar: TAG difere de setor-sigla-número"))</f>
        <v/>
      </c>
      <c r="K265" s="39" t="n"/>
      <c r="L265" s="39" t="n"/>
      <c r="M265" s="39" t="n"/>
      <c r="N265" s="39" t="n"/>
      <c r="O265" s="39" t="n"/>
      <c r="P265" s="38">
        <f>IF(COUNTA(A265:D265)+COUNTA(F265:I265)+COUNTA(K265:O265)=0,"",IF(ISNUMBER(K265),AND(K265=INT(K265),K265&gt;=1,K265&lt;=3),FALSE)+IF(ISNUMBER(L265),AND(L265=INT(L265),L265&gt;=1,L265&lt;=3),FALSE)+IF(ISNUMBER(M265),AND(M265=INT(M265),M265&gt;=1,M265&lt;=3),FALSE)+IF(ISNUMBER(N265),AND(N265=INT(N265),N265&gt;=1,N265&lt;=3),FALSE)+IF(ISNUMBER(O265),AND(O265=INT(O265),O265&gt;=1,O265&lt;=3),FALSE))</f>
        <v/>
      </c>
      <c r="Q265" s="38">
        <f>IF(P265=5,SUM(K265:O265),"")</f>
        <v/>
      </c>
      <c r="R265" s="38">
        <f>IF(P265="","",IF(P265&lt;5,"Pendente",IF(NOT(cad_limites_ok),"Pendente",IF(K265=3,"A",IF(Q265&gt;=cad_limite_a,"A",IF(Q265&gt;=cad_limite_b,"B","C"))))))</f>
        <v/>
      </c>
      <c r="S265" s="40">
        <f>IF(P265="","",IF(A265="","Pendente: falta o ID do ativo",IF(COUNTIF(at_id,A265)&gt;1,"ERRO: ID do ativo duplicado",IF(COUNTA(K265:O265)&gt;P265,"Pendente: nota inválida (use inteiro de 1 a 3)",IF(P265&lt;5,"Pendente: falta(m) "&amp;(5-P265)&amp;" nota(s)",IF(NOT(cad_limites_ok),"Pendente: corrija os limites A/B em Critérios",IF(K265=3,"A por Segurança = 3","Classe pela soma e limites")))))))</f>
        <v/>
      </c>
    </row>
    <row r="266">
      <c r="A266" s="36" t="n"/>
      <c r="B266" s="36" t="n"/>
      <c r="C266" s="37" t="n"/>
      <c r="D266" s="36" t="n"/>
      <c r="E266" s="38">
        <f>IF(D266="","",IFERROR(INDEX(lst_tipo_nome,MATCH(D266,lst_tipo_id,0)),"Tipo não cadastrado em Listas"))</f>
        <v/>
      </c>
      <c r="F266" s="36" t="n"/>
      <c r="G266" s="36" t="n"/>
      <c r="H266" s="36" t="n"/>
      <c r="I266" s="39" t="n"/>
      <c r="J266" s="38">
        <f>IF(OR(B266="",D266="",H266="",I266=""),"",IF(B266=H266&amp;"-"&amp;IFERROR(INDEX(lst_tipo_sigla,MATCH(D266,lst_tipo_id,0)),"???")&amp;"-"&amp;RIGHT("00"&amp;I266,3),"OK","Verificar: TAG difere de setor-sigla-número"))</f>
        <v/>
      </c>
      <c r="K266" s="39" t="n"/>
      <c r="L266" s="39" t="n"/>
      <c r="M266" s="39" t="n"/>
      <c r="N266" s="39" t="n"/>
      <c r="O266" s="39" t="n"/>
      <c r="P266" s="38">
        <f>IF(COUNTA(A266:D266)+COUNTA(F266:I266)+COUNTA(K266:O266)=0,"",IF(ISNUMBER(K266),AND(K266=INT(K266),K266&gt;=1,K266&lt;=3),FALSE)+IF(ISNUMBER(L266),AND(L266=INT(L266),L266&gt;=1,L266&lt;=3),FALSE)+IF(ISNUMBER(M266),AND(M266=INT(M266),M266&gt;=1,M266&lt;=3),FALSE)+IF(ISNUMBER(N266),AND(N266=INT(N266),N266&gt;=1,N266&lt;=3),FALSE)+IF(ISNUMBER(O266),AND(O266=INT(O266),O266&gt;=1,O266&lt;=3),FALSE))</f>
        <v/>
      </c>
      <c r="Q266" s="38">
        <f>IF(P266=5,SUM(K266:O266),"")</f>
        <v/>
      </c>
      <c r="R266" s="38">
        <f>IF(P266="","",IF(P266&lt;5,"Pendente",IF(NOT(cad_limites_ok),"Pendente",IF(K266=3,"A",IF(Q266&gt;=cad_limite_a,"A",IF(Q266&gt;=cad_limite_b,"B","C"))))))</f>
        <v/>
      </c>
      <c r="S266" s="40">
        <f>IF(P266="","",IF(A266="","Pendente: falta o ID do ativo",IF(COUNTIF(at_id,A266)&gt;1,"ERRO: ID do ativo duplicado",IF(COUNTA(K266:O266)&gt;P266,"Pendente: nota inválida (use inteiro de 1 a 3)",IF(P266&lt;5,"Pendente: falta(m) "&amp;(5-P266)&amp;" nota(s)",IF(NOT(cad_limites_ok),"Pendente: corrija os limites A/B em Critérios",IF(K266=3,"A por Segurança = 3","Classe pela soma e limites")))))))</f>
        <v/>
      </c>
    </row>
    <row r="267">
      <c r="A267" s="36" t="n"/>
      <c r="B267" s="36" t="n"/>
      <c r="C267" s="37" t="n"/>
      <c r="D267" s="36" t="n"/>
      <c r="E267" s="38">
        <f>IF(D267="","",IFERROR(INDEX(lst_tipo_nome,MATCH(D267,lst_tipo_id,0)),"Tipo não cadastrado em Listas"))</f>
        <v/>
      </c>
      <c r="F267" s="36" t="n"/>
      <c r="G267" s="36" t="n"/>
      <c r="H267" s="36" t="n"/>
      <c r="I267" s="39" t="n"/>
      <c r="J267" s="38">
        <f>IF(OR(B267="",D267="",H267="",I267=""),"",IF(B267=H267&amp;"-"&amp;IFERROR(INDEX(lst_tipo_sigla,MATCH(D267,lst_tipo_id,0)),"???")&amp;"-"&amp;RIGHT("00"&amp;I267,3),"OK","Verificar: TAG difere de setor-sigla-número"))</f>
        <v/>
      </c>
      <c r="K267" s="39" t="n"/>
      <c r="L267" s="39" t="n"/>
      <c r="M267" s="39" t="n"/>
      <c r="N267" s="39" t="n"/>
      <c r="O267" s="39" t="n"/>
      <c r="P267" s="38">
        <f>IF(COUNTA(A267:D267)+COUNTA(F267:I267)+COUNTA(K267:O267)=0,"",IF(ISNUMBER(K267),AND(K267=INT(K267),K267&gt;=1,K267&lt;=3),FALSE)+IF(ISNUMBER(L267),AND(L267=INT(L267),L267&gt;=1,L267&lt;=3),FALSE)+IF(ISNUMBER(M267),AND(M267=INT(M267),M267&gt;=1,M267&lt;=3),FALSE)+IF(ISNUMBER(N267),AND(N267=INT(N267),N267&gt;=1,N267&lt;=3),FALSE)+IF(ISNUMBER(O267),AND(O267=INT(O267),O267&gt;=1,O267&lt;=3),FALSE))</f>
        <v/>
      </c>
      <c r="Q267" s="38">
        <f>IF(P267=5,SUM(K267:O267),"")</f>
        <v/>
      </c>
      <c r="R267" s="38">
        <f>IF(P267="","",IF(P267&lt;5,"Pendente",IF(NOT(cad_limites_ok),"Pendente",IF(K267=3,"A",IF(Q267&gt;=cad_limite_a,"A",IF(Q267&gt;=cad_limite_b,"B","C"))))))</f>
        <v/>
      </c>
      <c r="S267" s="40">
        <f>IF(P267="","",IF(A267="","Pendente: falta o ID do ativo",IF(COUNTIF(at_id,A267)&gt;1,"ERRO: ID do ativo duplicado",IF(COUNTA(K267:O267)&gt;P267,"Pendente: nota inválida (use inteiro de 1 a 3)",IF(P267&lt;5,"Pendente: falta(m) "&amp;(5-P267)&amp;" nota(s)",IF(NOT(cad_limites_ok),"Pendente: corrija os limites A/B em Critérios",IF(K267=3,"A por Segurança = 3","Classe pela soma e limites")))))))</f>
        <v/>
      </c>
    </row>
    <row r="268">
      <c r="A268" s="36" t="n"/>
      <c r="B268" s="36" t="n"/>
      <c r="C268" s="37" t="n"/>
      <c r="D268" s="36" t="n"/>
      <c r="E268" s="38">
        <f>IF(D268="","",IFERROR(INDEX(lst_tipo_nome,MATCH(D268,lst_tipo_id,0)),"Tipo não cadastrado em Listas"))</f>
        <v/>
      </c>
      <c r="F268" s="36" t="n"/>
      <c r="G268" s="36" t="n"/>
      <c r="H268" s="36" t="n"/>
      <c r="I268" s="39" t="n"/>
      <c r="J268" s="38">
        <f>IF(OR(B268="",D268="",H268="",I268=""),"",IF(B268=H268&amp;"-"&amp;IFERROR(INDEX(lst_tipo_sigla,MATCH(D268,lst_tipo_id,0)),"???")&amp;"-"&amp;RIGHT("00"&amp;I268,3),"OK","Verificar: TAG difere de setor-sigla-número"))</f>
        <v/>
      </c>
      <c r="K268" s="39" t="n"/>
      <c r="L268" s="39" t="n"/>
      <c r="M268" s="39" t="n"/>
      <c r="N268" s="39" t="n"/>
      <c r="O268" s="39" t="n"/>
      <c r="P268" s="38">
        <f>IF(COUNTA(A268:D268)+COUNTA(F268:I268)+COUNTA(K268:O268)=0,"",IF(ISNUMBER(K268),AND(K268=INT(K268),K268&gt;=1,K268&lt;=3),FALSE)+IF(ISNUMBER(L268),AND(L268=INT(L268),L268&gt;=1,L268&lt;=3),FALSE)+IF(ISNUMBER(M268),AND(M268=INT(M268),M268&gt;=1,M268&lt;=3),FALSE)+IF(ISNUMBER(N268),AND(N268=INT(N268),N268&gt;=1,N268&lt;=3),FALSE)+IF(ISNUMBER(O268),AND(O268=INT(O268),O268&gt;=1,O268&lt;=3),FALSE))</f>
        <v/>
      </c>
      <c r="Q268" s="38">
        <f>IF(P268=5,SUM(K268:O268),"")</f>
        <v/>
      </c>
      <c r="R268" s="38">
        <f>IF(P268="","",IF(P268&lt;5,"Pendente",IF(NOT(cad_limites_ok),"Pendente",IF(K268=3,"A",IF(Q268&gt;=cad_limite_a,"A",IF(Q268&gt;=cad_limite_b,"B","C"))))))</f>
        <v/>
      </c>
      <c r="S268" s="40">
        <f>IF(P268="","",IF(A268="","Pendente: falta o ID do ativo",IF(COUNTIF(at_id,A268)&gt;1,"ERRO: ID do ativo duplicado",IF(COUNTA(K268:O268)&gt;P268,"Pendente: nota inválida (use inteiro de 1 a 3)",IF(P268&lt;5,"Pendente: falta(m) "&amp;(5-P268)&amp;" nota(s)",IF(NOT(cad_limites_ok),"Pendente: corrija os limites A/B em Critérios",IF(K268=3,"A por Segurança = 3","Classe pela soma e limites")))))))</f>
        <v/>
      </c>
    </row>
    <row r="269">
      <c r="A269" s="36" t="n"/>
      <c r="B269" s="36" t="n"/>
      <c r="C269" s="37" t="n"/>
      <c r="D269" s="36" t="n"/>
      <c r="E269" s="38">
        <f>IF(D269="","",IFERROR(INDEX(lst_tipo_nome,MATCH(D269,lst_tipo_id,0)),"Tipo não cadastrado em Listas"))</f>
        <v/>
      </c>
      <c r="F269" s="36" t="n"/>
      <c r="G269" s="36" t="n"/>
      <c r="H269" s="36" t="n"/>
      <c r="I269" s="39" t="n"/>
      <c r="J269" s="38">
        <f>IF(OR(B269="",D269="",H269="",I269=""),"",IF(B269=H269&amp;"-"&amp;IFERROR(INDEX(lst_tipo_sigla,MATCH(D269,lst_tipo_id,0)),"???")&amp;"-"&amp;RIGHT("00"&amp;I269,3),"OK","Verificar: TAG difere de setor-sigla-número"))</f>
        <v/>
      </c>
      <c r="K269" s="39" t="n"/>
      <c r="L269" s="39" t="n"/>
      <c r="M269" s="39" t="n"/>
      <c r="N269" s="39" t="n"/>
      <c r="O269" s="39" t="n"/>
      <c r="P269" s="38">
        <f>IF(COUNTA(A269:D269)+COUNTA(F269:I269)+COUNTA(K269:O269)=0,"",IF(ISNUMBER(K269),AND(K269=INT(K269),K269&gt;=1,K269&lt;=3),FALSE)+IF(ISNUMBER(L269),AND(L269=INT(L269),L269&gt;=1,L269&lt;=3),FALSE)+IF(ISNUMBER(M269),AND(M269=INT(M269),M269&gt;=1,M269&lt;=3),FALSE)+IF(ISNUMBER(N269),AND(N269=INT(N269),N269&gt;=1,N269&lt;=3),FALSE)+IF(ISNUMBER(O269),AND(O269=INT(O269),O269&gt;=1,O269&lt;=3),FALSE))</f>
        <v/>
      </c>
      <c r="Q269" s="38">
        <f>IF(P269=5,SUM(K269:O269),"")</f>
        <v/>
      </c>
      <c r="R269" s="38">
        <f>IF(P269="","",IF(P269&lt;5,"Pendente",IF(NOT(cad_limites_ok),"Pendente",IF(K269=3,"A",IF(Q269&gt;=cad_limite_a,"A",IF(Q269&gt;=cad_limite_b,"B","C"))))))</f>
        <v/>
      </c>
      <c r="S269" s="40">
        <f>IF(P269="","",IF(A269="","Pendente: falta o ID do ativo",IF(COUNTIF(at_id,A269)&gt;1,"ERRO: ID do ativo duplicado",IF(COUNTA(K269:O269)&gt;P269,"Pendente: nota inválida (use inteiro de 1 a 3)",IF(P269&lt;5,"Pendente: falta(m) "&amp;(5-P269)&amp;" nota(s)",IF(NOT(cad_limites_ok),"Pendente: corrija os limites A/B em Critérios",IF(K269=3,"A por Segurança = 3","Classe pela soma e limites")))))))</f>
        <v/>
      </c>
    </row>
    <row r="270">
      <c r="A270" s="36" t="n"/>
      <c r="B270" s="36" t="n"/>
      <c r="C270" s="37" t="n"/>
      <c r="D270" s="36" t="n"/>
      <c r="E270" s="38">
        <f>IF(D270="","",IFERROR(INDEX(lst_tipo_nome,MATCH(D270,lst_tipo_id,0)),"Tipo não cadastrado em Listas"))</f>
        <v/>
      </c>
      <c r="F270" s="36" t="n"/>
      <c r="G270" s="36" t="n"/>
      <c r="H270" s="36" t="n"/>
      <c r="I270" s="39" t="n"/>
      <c r="J270" s="38">
        <f>IF(OR(B270="",D270="",H270="",I270=""),"",IF(B270=H270&amp;"-"&amp;IFERROR(INDEX(lst_tipo_sigla,MATCH(D270,lst_tipo_id,0)),"???")&amp;"-"&amp;RIGHT("00"&amp;I270,3),"OK","Verificar: TAG difere de setor-sigla-número"))</f>
        <v/>
      </c>
      <c r="K270" s="39" t="n"/>
      <c r="L270" s="39" t="n"/>
      <c r="M270" s="39" t="n"/>
      <c r="N270" s="39" t="n"/>
      <c r="O270" s="39" t="n"/>
      <c r="P270" s="38">
        <f>IF(COUNTA(A270:D270)+COUNTA(F270:I270)+COUNTA(K270:O270)=0,"",IF(ISNUMBER(K270),AND(K270=INT(K270),K270&gt;=1,K270&lt;=3),FALSE)+IF(ISNUMBER(L270),AND(L270=INT(L270),L270&gt;=1,L270&lt;=3),FALSE)+IF(ISNUMBER(M270),AND(M270=INT(M270),M270&gt;=1,M270&lt;=3),FALSE)+IF(ISNUMBER(N270),AND(N270=INT(N270),N270&gt;=1,N270&lt;=3),FALSE)+IF(ISNUMBER(O270),AND(O270=INT(O270),O270&gt;=1,O270&lt;=3),FALSE))</f>
        <v/>
      </c>
      <c r="Q270" s="38">
        <f>IF(P270=5,SUM(K270:O270),"")</f>
        <v/>
      </c>
      <c r="R270" s="38">
        <f>IF(P270="","",IF(P270&lt;5,"Pendente",IF(NOT(cad_limites_ok),"Pendente",IF(K270=3,"A",IF(Q270&gt;=cad_limite_a,"A",IF(Q270&gt;=cad_limite_b,"B","C"))))))</f>
        <v/>
      </c>
      <c r="S270" s="40">
        <f>IF(P270="","",IF(A270="","Pendente: falta o ID do ativo",IF(COUNTIF(at_id,A270)&gt;1,"ERRO: ID do ativo duplicado",IF(COUNTA(K270:O270)&gt;P270,"Pendente: nota inválida (use inteiro de 1 a 3)",IF(P270&lt;5,"Pendente: falta(m) "&amp;(5-P270)&amp;" nota(s)",IF(NOT(cad_limites_ok),"Pendente: corrija os limites A/B em Critérios",IF(K270=3,"A por Segurança = 3","Classe pela soma e limites")))))))</f>
        <v/>
      </c>
    </row>
    <row r="271">
      <c r="A271" s="36" t="n"/>
      <c r="B271" s="36" t="n"/>
      <c r="C271" s="37" t="n"/>
      <c r="D271" s="36" t="n"/>
      <c r="E271" s="38">
        <f>IF(D271="","",IFERROR(INDEX(lst_tipo_nome,MATCH(D271,lst_tipo_id,0)),"Tipo não cadastrado em Listas"))</f>
        <v/>
      </c>
      <c r="F271" s="36" t="n"/>
      <c r="G271" s="36" t="n"/>
      <c r="H271" s="36" t="n"/>
      <c r="I271" s="39" t="n"/>
      <c r="J271" s="38">
        <f>IF(OR(B271="",D271="",H271="",I271=""),"",IF(B271=H271&amp;"-"&amp;IFERROR(INDEX(lst_tipo_sigla,MATCH(D271,lst_tipo_id,0)),"???")&amp;"-"&amp;RIGHT("00"&amp;I271,3),"OK","Verificar: TAG difere de setor-sigla-número"))</f>
        <v/>
      </c>
      <c r="K271" s="39" t="n"/>
      <c r="L271" s="39" t="n"/>
      <c r="M271" s="39" t="n"/>
      <c r="N271" s="39" t="n"/>
      <c r="O271" s="39" t="n"/>
      <c r="P271" s="38">
        <f>IF(COUNTA(A271:D271)+COUNTA(F271:I271)+COUNTA(K271:O271)=0,"",IF(ISNUMBER(K271),AND(K271=INT(K271),K271&gt;=1,K271&lt;=3),FALSE)+IF(ISNUMBER(L271),AND(L271=INT(L271),L271&gt;=1,L271&lt;=3),FALSE)+IF(ISNUMBER(M271),AND(M271=INT(M271),M271&gt;=1,M271&lt;=3),FALSE)+IF(ISNUMBER(N271),AND(N271=INT(N271),N271&gt;=1,N271&lt;=3),FALSE)+IF(ISNUMBER(O271),AND(O271=INT(O271),O271&gt;=1,O271&lt;=3),FALSE))</f>
        <v/>
      </c>
      <c r="Q271" s="38">
        <f>IF(P271=5,SUM(K271:O271),"")</f>
        <v/>
      </c>
      <c r="R271" s="38">
        <f>IF(P271="","",IF(P271&lt;5,"Pendente",IF(NOT(cad_limites_ok),"Pendente",IF(K271=3,"A",IF(Q271&gt;=cad_limite_a,"A",IF(Q271&gt;=cad_limite_b,"B","C"))))))</f>
        <v/>
      </c>
      <c r="S271" s="40">
        <f>IF(P271="","",IF(A271="","Pendente: falta o ID do ativo",IF(COUNTIF(at_id,A271)&gt;1,"ERRO: ID do ativo duplicado",IF(COUNTA(K271:O271)&gt;P271,"Pendente: nota inválida (use inteiro de 1 a 3)",IF(P271&lt;5,"Pendente: falta(m) "&amp;(5-P271)&amp;" nota(s)",IF(NOT(cad_limites_ok),"Pendente: corrija os limites A/B em Critérios",IF(K271=3,"A por Segurança = 3","Classe pela soma e limites")))))))</f>
        <v/>
      </c>
    </row>
    <row r="272">
      <c r="A272" s="36" t="n"/>
      <c r="B272" s="36" t="n"/>
      <c r="C272" s="37" t="n"/>
      <c r="D272" s="36" t="n"/>
      <c r="E272" s="38">
        <f>IF(D272="","",IFERROR(INDEX(lst_tipo_nome,MATCH(D272,lst_tipo_id,0)),"Tipo não cadastrado em Listas"))</f>
        <v/>
      </c>
      <c r="F272" s="36" t="n"/>
      <c r="G272" s="36" t="n"/>
      <c r="H272" s="36" t="n"/>
      <c r="I272" s="39" t="n"/>
      <c r="J272" s="38">
        <f>IF(OR(B272="",D272="",H272="",I272=""),"",IF(B272=H272&amp;"-"&amp;IFERROR(INDEX(lst_tipo_sigla,MATCH(D272,lst_tipo_id,0)),"???")&amp;"-"&amp;RIGHT("00"&amp;I272,3),"OK","Verificar: TAG difere de setor-sigla-número"))</f>
        <v/>
      </c>
      <c r="K272" s="39" t="n"/>
      <c r="L272" s="39" t="n"/>
      <c r="M272" s="39" t="n"/>
      <c r="N272" s="39" t="n"/>
      <c r="O272" s="39" t="n"/>
      <c r="P272" s="38">
        <f>IF(COUNTA(A272:D272)+COUNTA(F272:I272)+COUNTA(K272:O272)=0,"",IF(ISNUMBER(K272),AND(K272=INT(K272),K272&gt;=1,K272&lt;=3),FALSE)+IF(ISNUMBER(L272),AND(L272=INT(L272),L272&gt;=1,L272&lt;=3),FALSE)+IF(ISNUMBER(M272),AND(M272=INT(M272),M272&gt;=1,M272&lt;=3),FALSE)+IF(ISNUMBER(N272),AND(N272=INT(N272),N272&gt;=1,N272&lt;=3),FALSE)+IF(ISNUMBER(O272),AND(O272=INT(O272),O272&gt;=1,O272&lt;=3),FALSE))</f>
        <v/>
      </c>
      <c r="Q272" s="38">
        <f>IF(P272=5,SUM(K272:O272),"")</f>
        <v/>
      </c>
      <c r="R272" s="38">
        <f>IF(P272="","",IF(P272&lt;5,"Pendente",IF(NOT(cad_limites_ok),"Pendente",IF(K272=3,"A",IF(Q272&gt;=cad_limite_a,"A",IF(Q272&gt;=cad_limite_b,"B","C"))))))</f>
        <v/>
      </c>
      <c r="S272" s="40">
        <f>IF(P272="","",IF(A272="","Pendente: falta o ID do ativo",IF(COUNTIF(at_id,A272)&gt;1,"ERRO: ID do ativo duplicado",IF(COUNTA(K272:O272)&gt;P272,"Pendente: nota inválida (use inteiro de 1 a 3)",IF(P272&lt;5,"Pendente: falta(m) "&amp;(5-P272)&amp;" nota(s)",IF(NOT(cad_limites_ok),"Pendente: corrija os limites A/B em Critérios",IF(K272=3,"A por Segurança = 3","Classe pela soma e limites")))))))</f>
        <v/>
      </c>
    </row>
    <row r="273">
      <c r="A273" s="36" t="n"/>
      <c r="B273" s="36" t="n"/>
      <c r="C273" s="37" t="n"/>
      <c r="D273" s="36" t="n"/>
      <c r="E273" s="38">
        <f>IF(D273="","",IFERROR(INDEX(lst_tipo_nome,MATCH(D273,lst_tipo_id,0)),"Tipo não cadastrado em Listas"))</f>
        <v/>
      </c>
      <c r="F273" s="36" t="n"/>
      <c r="G273" s="36" t="n"/>
      <c r="H273" s="36" t="n"/>
      <c r="I273" s="39" t="n"/>
      <c r="J273" s="38">
        <f>IF(OR(B273="",D273="",H273="",I273=""),"",IF(B273=H273&amp;"-"&amp;IFERROR(INDEX(lst_tipo_sigla,MATCH(D273,lst_tipo_id,0)),"???")&amp;"-"&amp;RIGHT("00"&amp;I273,3),"OK","Verificar: TAG difere de setor-sigla-número"))</f>
        <v/>
      </c>
      <c r="K273" s="39" t="n"/>
      <c r="L273" s="39" t="n"/>
      <c r="M273" s="39" t="n"/>
      <c r="N273" s="39" t="n"/>
      <c r="O273" s="39" t="n"/>
      <c r="P273" s="38">
        <f>IF(COUNTA(A273:D273)+COUNTA(F273:I273)+COUNTA(K273:O273)=0,"",IF(ISNUMBER(K273),AND(K273=INT(K273),K273&gt;=1,K273&lt;=3),FALSE)+IF(ISNUMBER(L273),AND(L273=INT(L273),L273&gt;=1,L273&lt;=3),FALSE)+IF(ISNUMBER(M273),AND(M273=INT(M273),M273&gt;=1,M273&lt;=3),FALSE)+IF(ISNUMBER(N273),AND(N273=INT(N273),N273&gt;=1,N273&lt;=3),FALSE)+IF(ISNUMBER(O273),AND(O273=INT(O273),O273&gt;=1,O273&lt;=3),FALSE))</f>
        <v/>
      </c>
      <c r="Q273" s="38">
        <f>IF(P273=5,SUM(K273:O273),"")</f>
        <v/>
      </c>
      <c r="R273" s="38">
        <f>IF(P273="","",IF(P273&lt;5,"Pendente",IF(NOT(cad_limites_ok),"Pendente",IF(K273=3,"A",IF(Q273&gt;=cad_limite_a,"A",IF(Q273&gt;=cad_limite_b,"B","C"))))))</f>
        <v/>
      </c>
      <c r="S273" s="40">
        <f>IF(P273="","",IF(A273="","Pendente: falta o ID do ativo",IF(COUNTIF(at_id,A273)&gt;1,"ERRO: ID do ativo duplicado",IF(COUNTA(K273:O273)&gt;P273,"Pendente: nota inválida (use inteiro de 1 a 3)",IF(P273&lt;5,"Pendente: falta(m) "&amp;(5-P273)&amp;" nota(s)",IF(NOT(cad_limites_ok),"Pendente: corrija os limites A/B em Critérios",IF(K273=3,"A por Segurança = 3","Classe pela soma e limites")))))))</f>
        <v/>
      </c>
    </row>
    <row r="274">
      <c r="A274" s="36" t="n"/>
      <c r="B274" s="36" t="n"/>
      <c r="C274" s="37" t="n"/>
      <c r="D274" s="36" t="n"/>
      <c r="E274" s="38">
        <f>IF(D274="","",IFERROR(INDEX(lst_tipo_nome,MATCH(D274,lst_tipo_id,0)),"Tipo não cadastrado em Listas"))</f>
        <v/>
      </c>
      <c r="F274" s="36" t="n"/>
      <c r="G274" s="36" t="n"/>
      <c r="H274" s="36" t="n"/>
      <c r="I274" s="39" t="n"/>
      <c r="J274" s="38">
        <f>IF(OR(B274="",D274="",H274="",I274=""),"",IF(B274=H274&amp;"-"&amp;IFERROR(INDEX(lst_tipo_sigla,MATCH(D274,lst_tipo_id,0)),"???")&amp;"-"&amp;RIGHT("00"&amp;I274,3),"OK","Verificar: TAG difere de setor-sigla-número"))</f>
        <v/>
      </c>
      <c r="K274" s="39" t="n"/>
      <c r="L274" s="39" t="n"/>
      <c r="M274" s="39" t="n"/>
      <c r="N274" s="39" t="n"/>
      <c r="O274" s="39" t="n"/>
      <c r="P274" s="38">
        <f>IF(COUNTA(A274:D274)+COUNTA(F274:I274)+COUNTA(K274:O274)=0,"",IF(ISNUMBER(K274),AND(K274=INT(K274),K274&gt;=1,K274&lt;=3),FALSE)+IF(ISNUMBER(L274),AND(L274=INT(L274),L274&gt;=1,L274&lt;=3),FALSE)+IF(ISNUMBER(M274),AND(M274=INT(M274),M274&gt;=1,M274&lt;=3),FALSE)+IF(ISNUMBER(N274),AND(N274=INT(N274),N274&gt;=1,N274&lt;=3),FALSE)+IF(ISNUMBER(O274),AND(O274=INT(O274),O274&gt;=1,O274&lt;=3),FALSE))</f>
        <v/>
      </c>
      <c r="Q274" s="38">
        <f>IF(P274=5,SUM(K274:O274),"")</f>
        <v/>
      </c>
      <c r="R274" s="38">
        <f>IF(P274="","",IF(P274&lt;5,"Pendente",IF(NOT(cad_limites_ok),"Pendente",IF(K274=3,"A",IF(Q274&gt;=cad_limite_a,"A",IF(Q274&gt;=cad_limite_b,"B","C"))))))</f>
        <v/>
      </c>
      <c r="S274" s="40">
        <f>IF(P274="","",IF(A274="","Pendente: falta o ID do ativo",IF(COUNTIF(at_id,A274)&gt;1,"ERRO: ID do ativo duplicado",IF(COUNTA(K274:O274)&gt;P274,"Pendente: nota inválida (use inteiro de 1 a 3)",IF(P274&lt;5,"Pendente: falta(m) "&amp;(5-P274)&amp;" nota(s)",IF(NOT(cad_limites_ok),"Pendente: corrija os limites A/B em Critérios",IF(K274=3,"A por Segurança = 3","Classe pela soma e limites")))))))</f>
        <v/>
      </c>
    </row>
    <row r="275">
      <c r="A275" s="36" t="n"/>
      <c r="B275" s="36" t="n"/>
      <c r="C275" s="37" t="n"/>
      <c r="D275" s="36" t="n"/>
      <c r="E275" s="38">
        <f>IF(D275="","",IFERROR(INDEX(lst_tipo_nome,MATCH(D275,lst_tipo_id,0)),"Tipo não cadastrado em Listas"))</f>
        <v/>
      </c>
      <c r="F275" s="36" t="n"/>
      <c r="G275" s="36" t="n"/>
      <c r="H275" s="36" t="n"/>
      <c r="I275" s="39" t="n"/>
      <c r="J275" s="38">
        <f>IF(OR(B275="",D275="",H275="",I275=""),"",IF(B275=H275&amp;"-"&amp;IFERROR(INDEX(lst_tipo_sigla,MATCH(D275,lst_tipo_id,0)),"???")&amp;"-"&amp;RIGHT("00"&amp;I275,3),"OK","Verificar: TAG difere de setor-sigla-número"))</f>
        <v/>
      </c>
      <c r="K275" s="39" t="n"/>
      <c r="L275" s="39" t="n"/>
      <c r="M275" s="39" t="n"/>
      <c r="N275" s="39" t="n"/>
      <c r="O275" s="39" t="n"/>
      <c r="P275" s="38">
        <f>IF(COUNTA(A275:D275)+COUNTA(F275:I275)+COUNTA(K275:O275)=0,"",IF(ISNUMBER(K275),AND(K275=INT(K275),K275&gt;=1,K275&lt;=3),FALSE)+IF(ISNUMBER(L275),AND(L275=INT(L275),L275&gt;=1,L275&lt;=3),FALSE)+IF(ISNUMBER(M275),AND(M275=INT(M275),M275&gt;=1,M275&lt;=3),FALSE)+IF(ISNUMBER(N275),AND(N275=INT(N275),N275&gt;=1,N275&lt;=3),FALSE)+IF(ISNUMBER(O275),AND(O275=INT(O275),O275&gt;=1,O275&lt;=3),FALSE))</f>
        <v/>
      </c>
      <c r="Q275" s="38">
        <f>IF(P275=5,SUM(K275:O275),"")</f>
        <v/>
      </c>
      <c r="R275" s="38">
        <f>IF(P275="","",IF(P275&lt;5,"Pendente",IF(NOT(cad_limites_ok),"Pendente",IF(K275=3,"A",IF(Q275&gt;=cad_limite_a,"A",IF(Q275&gt;=cad_limite_b,"B","C"))))))</f>
        <v/>
      </c>
      <c r="S275" s="40">
        <f>IF(P275="","",IF(A275="","Pendente: falta o ID do ativo",IF(COUNTIF(at_id,A275)&gt;1,"ERRO: ID do ativo duplicado",IF(COUNTA(K275:O275)&gt;P275,"Pendente: nota inválida (use inteiro de 1 a 3)",IF(P275&lt;5,"Pendente: falta(m) "&amp;(5-P275)&amp;" nota(s)",IF(NOT(cad_limites_ok),"Pendente: corrija os limites A/B em Critérios",IF(K275=3,"A por Segurança = 3","Classe pela soma e limites")))))))</f>
        <v/>
      </c>
    </row>
    <row r="276">
      <c r="A276" s="36" t="n"/>
      <c r="B276" s="36" t="n"/>
      <c r="C276" s="37" t="n"/>
      <c r="D276" s="36" t="n"/>
      <c r="E276" s="38">
        <f>IF(D276="","",IFERROR(INDEX(lst_tipo_nome,MATCH(D276,lst_tipo_id,0)),"Tipo não cadastrado em Listas"))</f>
        <v/>
      </c>
      <c r="F276" s="36" t="n"/>
      <c r="G276" s="36" t="n"/>
      <c r="H276" s="36" t="n"/>
      <c r="I276" s="39" t="n"/>
      <c r="J276" s="38">
        <f>IF(OR(B276="",D276="",H276="",I276=""),"",IF(B276=H276&amp;"-"&amp;IFERROR(INDEX(lst_tipo_sigla,MATCH(D276,lst_tipo_id,0)),"???")&amp;"-"&amp;RIGHT("00"&amp;I276,3),"OK","Verificar: TAG difere de setor-sigla-número"))</f>
        <v/>
      </c>
      <c r="K276" s="39" t="n"/>
      <c r="L276" s="39" t="n"/>
      <c r="M276" s="39" t="n"/>
      <c r="N276" s="39" t="n"/>
      <c r="O276" s="39" t="n"/>
      <c r="P276" s="38">
        <f>IF(COUNTA(A276:D276)+COUNTA(F276:I276)+COUNTA(K276:O276)=0,"",IF(ISNUMBER(K276),AND(K276=INT(K276),K276&gt;=1,K276&lt;=3),FALSE)+IF(ISNUMBER(L276),AND(L276=INT(L276),L276&gt;=1,L276&lt;=3),FALSE)+IF(ISNUMBER(M276),AND(M276=INT(M276),M276&gt;=1,M276&lt;=3),FALSE)+IF(ISNUMBER(N276),AND(N276=INT(N276),N276&gt;=1,N276&lt;=3),FALSE)+IF(ISNUMBER(O276),AND(O276=INT(O276),O276&gt;=1,O276&lt;=3),FALSE))</f>
        <v/>
      </c>
      <c r="Q276" s="38">
        <f>IF(P276=5,SUM(K276:O276),"")</f>
        <v/>
      </c>
      <c r="R276" s="38">
        <f>IF(P276="","",IF(P276&lt;5,"Pendente",IF(NOT(cad_limites_ok),"Pendente",IF(K276=3,"A",IF(Q276&gt;=cad_limite_a,"A",IF(Q276&gt;=cad_limite_b,"B","C"))))))</f>
        <v/>
      </c>
      <c r="S276" s="40">
        <f>IF(P276="","",IF(A276="","Pendente: falta o ID do ativo",IF(COUNTIF(at_id,A276)&gt;1,"ERRO: ID do ativo duplicado",IF(COUNTA(K276:O276)&gt;P276,"Pendente: nota inválida (use inteiro de 1 a 3)",IF(P276&lt;5,"Pendente: falta(m) "&amp;(5-P276)&amp;" nota(s)",IF(NOT(cad_limites_ok),"Pendente: corrija os limites A/B em Critérios",IF(K276=3,"A por Segurança = 3","Classe pela soma e limites")))))))</f>
        <v/>
      </c>
    </row>
    <row r="277">
      <c r="A277" s="36" t="n"/>
      <c r="B277" s="36" t="n"/>
      <c r="C277" s="37" t="n"/>
      <c r="D277" s="36" t="n"/>
      <c r="E277" s="38">
        <f>IF(D277="","",IFERROR(INDEX(lst_tipo_nome,MATCH(D277,lst_tipo_id,0)),"Tipo não cadastrado em Listas"))</f>
        <v/>
      </c>
      <c r="F277" s="36" t="n"/>
      <c r="G277" s="36" t="n"/>
      <c r="H277" s="36" t="n"/>
      <c r="I277" s="39" t="n"/>
      <c r="J277" s="38">
        <f>IF(OR(B277="",D277="",H277="",I277=""),"",IF(B277=H277&amp;"-"&amp;IFERROR(INDEX(lst_tipo_sigla,MATCH(D277,lst_tipo_id,0)),"???")&amp;"-"&amp;RIGHT("00"&amp;I277,3),"OK","Verificar: TAG difere de setor-sigla-número"))</f>
        <v/>
      </c>
      <c r="K277" s="39" t="n"/>
      <c r="L277" s="39" t="n"/>
      <c r="M277" s="39" t="n"/>
      <c r="N277" s="39" t="n"/>
      <c r="O277" s="39" t="n"/>
      <c r="P277" s="38">
        <f>IF(COUNTA(A277:D277)+COUNTA(F277:I277)+COUNTA(K277:O277)=0,"",IF(ISNUMBER(K277),AND(K277=INT(K277),K277&gt;=1,K277&lt;=3),FALSE)+IF(ISNUMBER(L277),AND(L277=INT(L277),L277&gt;=1,L277&lt;=3),FALSE)+IF(ISNUMBER(M277),AND(M277=INT(M277),M277&gt;=1,M277&lt;=3),FALSE)+IF(ISNUMBER(N277),AND(N277=INT(N277),N277&gt;=1,N277&lt;=3),FALSE)+IF(ISNUMBER(O277),AND(O277=INT(O277),O277&gt;=1,O277&lt;=3),FALSE))</f>
        <v/>
      </c>
      <c r="Q277" s="38">
        <f>IF(P277=5,SUM(K277:O277),"")</f>
        <v/>
      </c>
      <c r="R277" s="38">
        <f>IF(P277="","",IF(P277&lt;5,"Pendente",IF(NOT(cad_limites_ok),"Pendente",IF(K277=3,"A",IF(Q277&gt;=cad_limite_a,"A",IF(Q277&gt;=cad_limite_b,"B","C"))))))</f>
        <v/>
      </c>
      <c r="S277" s="40">
        <f>IF(P277="","",IF(A277="","Pendente: falta o ID do ativo",IF(COUNTIF(at_id,A277)&gt;1,"ERRO: ID do ativo duplicado",IF(COUNTA(K277:O277)&gt;P277,"Pendente: nota inválida (use inteiro de 1 a 3)",IF(P277&lt;5,"Pendente: falta(m) "&amp;(5-P277)&amp;" nota(s)",IF(NOT(cad_limites_ok),"Pendente: corrija os limites A/B em Critérios",IF(K277=3,"A por Segurança = 3","Classe pela soma e limites")))))))</f>
        <v/>
      </c>
    </row>
    <row r="278">
      <c r="A278" s="36" t="n"/>
      <c r="B278" s="36" t="n"/>
      <c r="C278" s="37" t="n"/>
      <c r="D278" s="36" t="n"/>
      <c r="E278" s="38">
        <f>IF(D278="","",IFERROR(INDEX(lst_tipo_nome,MATCH(D278,lst_tipo_id,0)),"Tipo não cadastrado em Listas"))</f>
        <v/>
      </c>
      <c r="F278" s="36" t="n"/>
      <c r="G278" s="36" t="n"/>
      <c r="H278" s="36" t="n"/>
      <c r="I278" s="39" t="n"/>
      <c r="J278" s="38">
        <f>IF(OR(B278="",D278="",H278="",I278=""),"",IF(B278=H278&amp;"-"&amp;IFERROR(INDEX(lst_tipo_sigla,MATCH(D278,lst_tipo_id,0)),"???")&amp;"-"&amp;RIGHT("00"&amp;I278,3),"OK","Verificar: TAG difere de setor-sigla-número"))</f>
        <v/>
      </c>
      <c r="K278" s="39" t="n"/>
      <c r="L278" s="39" t="n"/>
      <c r="M278" s="39" t="n"/>
      <c r="N278" s="39" t="n"/>
      <c r="O278" s="39" t="n"/>
      <c r="P278" s="38">
        <f>IF(COUNTA(A278:D278)+COUNTA(F278:I278)+COUNTA(K278:O278)=0,"",IF(ISNUMBER(K278),AND(K278=INT(K278),K278&gt;=1,K278&lt;=3),FALSE)+IF(ISNUMBER(L278),AND(L278=INT(L278),L278&gt;=1,L278&lt;=3),FALSE)+IF(ISNUMBER(M278),AND(M278=INT(M278),M278&gt;=1,M278&lt;=3),FALSE)+IF(ISNUMBER(N278),AND(N278=INT(N278),N278&gt;=1,N278&lt;=3),FALSE)+IF(ISNUMBER(O278),AND(O278=INT(O278),O278&gt;=1,O278&lt;=3),FALSE))</f>
        <v/>
      </c>
      <c r="Q278" s="38">
        <f>IF(P278=5,SUM(K278:O278),"")</f>
        <v/>
      </c>
      <c r="R278" s="38">
        <f>IF(P278="","",IF(P278&lt;5,"Pendente",IF(NOT(cad_limites_ok),"Pendente",IF(K278=3,"A",IF(Q278&gt;=cad_limite_a,"A",IF(Q278&gt;=cad_limite_b,"B","C"))))))</f>
        <v/>
      </c>
      <c r="S278" s="40">
        <f>IF(P278="","",IF(A278="","Pendente: falta o ID do ativo",IF(COUNTIF(at_id,A278)&gt;1,"ERRO: ID do ativo duplicado",IF(COUNTA(K278:O278)&gt;P278,"Pendente: nota inválida (use inteiro de 1 a 3)",IF(P278&lt;5,"Pendente: falta(m) "&amp;(5-P278)&amp;" nota(s)",IF(NOT(cad_limites_ok),"Pendente: corrija os limites A/B em Critérios",IF(K278=3,"A por Segurança = 3","Classe pela soma e limites")))))))</f>
        <v/>
      </c>
    </row>
    <row r="279">
      <c r="A279" s="36" t="n"/>
      <c r="B279" s="36" t="n"/>
      <c r="C279" s="37" t="n"/>
      <c r="D279" s="36" t="n"/>
      <c r="E279" s="38">
        <f>IF(D279="","",IFERROR(INDEX(lst_tipo_nome,MATCH(D279,lst_tipo_id,0)),"Tipo não cadastrado em Listas"))</f>
        <v/>
      </c>
      <c r="F279" s="36" t="n"/>
      <c r="G279" s="36" t="n"/>
      <c r="H279" s="36" t="n"/>
      <c r="I279" s="39" t="n"/>
      <c r="J279" s="38">
        <f>IF(OR(B279="",D279="",H279="",I279=""),"",IF(B279=H279&amp;"-"&amp;IFERROR(INDEX(lst_tipo_sigla,MATCH(D279,lst_tipo_id,0)),"???")&amp;"-"&amp;RIGHT("00"&amp;I279,3),"OK","Verificar: TAG difere de setor-sigla-número"))</f>
        <v/>
      </c>
      <c r="K279" s="39" t="n"/>
      <c r="L279" s="39" t="n"/>
      <c r="M279" s="39" t="n"/>
      <c r="N279" s="39" t="n"/>
      <c r="O279" s="39" t="n"/>
      <c r="P279" s="38">
        <f>IF(COUNTA(A279:D279)+COUNTA(F279:I279)+COUNTA(K279:O279)=0,"",IF(ISNUMBER(K279),AND(K279=INT(K279),K279&gt;=1,K279&lt;=3),FALSE)+IF(ISNUMBER(L279),AND(L279=INT(L279),L279&gt;=1,L279&lt;=3),FALSE)+IF(ISNUMBER(M279),AND(M279=INT(M279),M279&gt;=1,M279&lt;=3),FALSE)+IF(ISNUMBER(N279),AND(N279=INT(N279),N279&gt;=1,N279&lt;=3),FALSE)+IF(ISNUMBER(O279),AND(O279=INT(O279),O279&gt;=1,O279&lt;=3),FALSE))</f>
        <v/>
      </c>
      <c r="Q279" s="38">
        <f>IF(P279=5,SUM(K279:O279),"")</f>
        <v/>
      </c>
      <c r="R279" s="38">
        <f>IF(P279="","",IF(P279&lt;5,"Pendente",IF(NOT(cad_limites_ok),"Pendente",IF(K279=3,"A",IF(Q279&gt;=cad_limite_a,"A",IF(Q279&gt;=cad_limite_b,"B","C"))))))</f>
        <v/>
      </c>
      <c r="S279" s="40">
        <f>IF(P279="","",IF(A279="","Pendente: falta o ID do ativo",IF(COUNTIF(at_id,A279)&gt;1,"ERRO: ID do ativo duplicado",IF(COUNTA(K279:O279)&gt;P279,"Pendente: nota inválida (use inteiro de 1 a 3)",IF(P279&lt;5,"Pendente: falta(m) "&amp;(5-P279)&amp;" nota(s)",IF(NOT(cad_limites_ok),"Pendente: corrija os limites A/B em Critérios",IF(K279=3,"A por Segurança = 3","Classe pela soma e limites")))))))</f>
        <v/>
      </c>
    </row>
    <row r="280">
      <c r="A280" s="36" t="n"/>
      <c r="B280" s="36" t="n"/>
      <c r="C280" s="37" t="n"/>
      <c r="D280" s="36" t="n"/>
      <c r="E280" s="38">
        <f>IF(D280="","",IFERROR(INDEX(lst_tipo_nome,MATCH(D280,lst_tipo_id,0)),"Tipo não cadastrado em Listas"))</f>
        <v/>
      </c>
      <c r="F280" s="36" t="n"/>
      <c r="G280" s="36" t="n"/>
      <c r="H280" s="36" t="n"/>
      <c r="I280" s="39" t="n"/>
      <c r="J280" s="38">
        <f>IF(OR(B280="",D280="",H280="",I280=""),"",IF(B280=H280&amp;"-"&amp;IFERROR(INDEX(lst_tipo_sigla,MATCH(D280,lst_tipo_id,0)),"???")&amp;"-"&amp;RIGHT("00"&amp;I280,3),"OK","Verificar: TAG difere de setor-sigla-número"))</f>
        <v/>
      </c>
      <c r="K280" s="39" t="n"/>
      <c r="L280" s="39" t="n"/>
      <c r="M280" s="39" t="n"/>
      <c r="N280" s="39" t="n"/>
      <c r="O280" s="39" t="n"/>
      <c r="P280" s="38">
        <f>IF(COUNTA(A280:D280)+COUNTA(F280:I280)+COUNTA(K280:O280)=0,"",IF(ISNUMBER(K280),AND(K280=INT(K280),K280&gt;=1,K280&lt;=3),FALSE)+IF(ISNUMBER(L280),AND(L280=INT(L280),L280&gt;=1,L280&lt;=3),FALSE)+IF(ISNUMBER(M280),AND(M280=INT(M280),M280&gt;=1,M280&lt;=3),FALSE)+IF(ISNUMBER(N280),AND(N280=INT(N280),N280&gt;=1,N280&lt;=3),FALSE)+IF(ISNUMBER(O280),AND(O280=INT(O280),O280&gt;=1,O280&lt;=3),FALSE))</f>
        <v/>
      </c>
      <c r="Q280" s="38">
        <f>IF(P280=5,SUM(K280:O280),"")</f>
        <v/>
      </c>
      <c r="R280" s="38">
        <f>IF(P280="","",IF(P280&lt;5,"Pendente",IF(NOT(cad_limites_ok),"Pendente",IF(K280=3,"A",IF(Q280&gt;=cad_limite_a,"A",IF(Q280&gt;=cad_limite_b,"B","C"))))))</f>
        <v/>
      </c>
      <c r="S280" s="40">
        <f>IF(P280="","",IF(A280="","Pendente: falta o ID do ativo",IF(COUNTIF(at_id,A280)&gt;1,"ERRO: ID do ativo duplicado",IF(COUNTA(K280:O280)&gt;P280,"Pendente: nota inválida (use inteiro de 1 a 3)",IF(P280&lt;5,"Pendente: falta(m) "&amp;(5-P280)&amp;" nota(s)",IF(NOT(cad_limites_ok),"Pendente: corrija os limites A/B em Critérios",IF(K280=3,"A por Segurança = 3","Classe pela soma e limites")))))))</f>
        <v/>
      </c>
    </row>
    <row r="281">
      <c r="A281" s="36" t="n"/>
      <c r="B281" s="36" t="n"/>
      <c r="C281" s="37" t="n"/>
      <c r="D281" s="36" t="n"/>
      <c r="E281" s="38">
        <f>IF(D281="","",IFERROR(INDEX(lst_tipo_nome,MATCH(D281,lst_tipo_id,0)),"Tipo não cadastrado em Listas"))</f>
        <v/>
      </c>
      <c r="F281" s="36" t="n"/>
      <c r="G281" s="36" t="n"/>
      <c r="H281" s="36" t="n"/>
      <c r="I281" s="39" t="n"/>
      <c r="J281" s="38">
        <f>IF(OR(B281="",D281="",H281="",I281=""),"",IF(B281=H281&amp;"-"&amp;IFERROR(INDEX(lst_tipo_sigla,MATCH(D281,lst_tipo_id,0)),"???")&amp;"-"&amp;RIGHT("00"&amp;I281,3),"OK","Verificar: TAG difere de setor-sigla-número"))</f>
        <v/>
      </c>
      <c r="K281" s="39" t="n"/>
      <c r="L281" s="39" t="n"/>
      <c r="M281" s="39" t="n"/>
      <c r="N281" s="39" t="n"/>
      <c r="O281" s="39" t="n"/>
      <c r="P281" s="38">
        <f>IF(COUNTA(A281:D281)+COUNTA(F281:I281)+COUNTA(K281:O281)=0,"",IF(ISNUMBER(K281),AND(K281=INT(K281),K281&gt;=1,K281&lt;=3),FALSE)+IF(ISNUMBER(L281),AND(L281=INT(L281),L281&gt;=1,L281&lt;=3),FALSE)+IF(ISNUMBER(M281),AND(M281=INT(M281),M281&gt;=1,M281&lt;=3),FALSE)+IF(ISNUMBER(N281),AND(N281=INT(N281),N281&gt;=1,N281&lt;=3),FALSE)+IF(ISNUMBER(O281),AND(O281=INT(O281),O281&gt;=1,O281&lt;=3),FALSE))</f>
        <v/>
      </c>
      <c r="Q281" s="38">
        <f>IF(P281=5,SUM(K281:O281),"")</f>
        <v/>
      </c>
      <c r="R281" s="38">
        <f>IF(P281="","",IF(P281&lt;5,"Pendente",IF(NOT(cad_limites_ok),"Pendente",IF(K281=3,"A",IF(Q281&gt;=cad_limite_a,"A",IF(Q281&gt;=cad_limite_b,"B","C"))))))</f>
        <v/>
      </c>
      <c r="S281" s="40">
        <f>IF(P281="","",IF(A281="","Pendente: falta o ID do ativo",IF(COUNTIF(at_id,A281)&gt;1,"ERRO: ID do ativo duplicado",IF(COUNTA(K281:O281)&gt;P281,"Pendente: nota inválida (use inteiro de 1 a 3)",IF(P281&lt;5,"Pendente: falta(m) "&amp;(5-P281)&amp;" nota(s)",IF(NOT(cad_limites_ok),"Pendente: corrija os limites A/B em Critérios",IF(K281=3,"A por Segurança = 3","Classe pela soma e limites")))))))</f>
        <v/>
      </c>
    </row>
    <row r="282">
      <c r="A282" s="36" t="n"/>
      <c r="B282" s="36" t="n"/>
      <c r="C282" s="37" t="n"/>
      <c r="D282" s="36" t="n"/>
      <c r="E282" s="38">
        <f>IF(D282="","",IFERROR(INDEX(lst_tipo_nome,MATCH(D282,lst_tipo_id,0)),"Tipo não cadastrado em Listas"))</f>
        <v/>
      </c>
      <c r="F282" s="36" t="n"/>
      <c r="G282" s="36" t="n"/>
      <c r="H282" s="36" t="n"/>
      <c r="I282" s="39" t="n"/>
      <c r="J282" s="38">
        <f>IF(OR(B282="",D282="",H282="",I282=""),"",IF(B282=H282&amp;"-"&amp;IFERROR(INDEX(lst_tipo_sigla,MATCH(D282,lst_tipo_id,0)),"???")&amp;"-"&amp;RIGHT("00"&amp;I282,3),"OK","Verificar: TAG difere de setor-sigla-número"))</f>
        <v/>
      </c>
      <c r="K282" s="39" t="n"/>
      <c r="L282" s="39" t="n"/>
      <c r="M282" s="39" t="n"/>
      <c r="N282" s="39" t="n"/>
      <c r="O282" s="39" t="n"/>
      <c r="P282" s="38">
        <f>IF(COUNTA(A282:D282)+COUNTA(F282:I282)+COUNTA(K282:O282)=0,"",IF(ISNUMBER(K282),AND(K282=INT(K282),K282&gt;=1,K282&lt;=3),FALSE)+IF(ISNUMBER(L282),AND(L282=INT(L282),L282&gt;=1,L282&lt;=3),FALSE)+IF(ISNUMBER(M282),AND(M282=INT(M282),M282&gt;=1,M282&lt;=3),FALSE)+IF(ISNUMBER(N282),AND(N282=INT(N282),N282&gt;=1,N282&lt;=3),FALSE)+IF(ISNUMBER(O282),AND(O282=INT(O282),O282&gt;=1,O282&lt;=3),FALSE))</f>
        <v/>
      </c>
      <c r="Q282" s="38">
        <f>IF(P282=5,SUM(K282:O282),"")</f>
        <v/>
      </c>
      <c r="R282" s="38">
        <f>IF(P282="","",IF(P282&lt;5,"Pendente",IF(NOT(cad_limites_ok),"Pendente",IF(K282=3,"A",IF(Q282&gt;=cad_limite_a,"A",IF(Q282&gt;=cad_limite_b,"B","C"))))))</f>
        <v/>
      </c>
      <c r="S282" s="40">
        <f>IF(P282="","",IF(A282="","Pendente: falta o ID do ativo",IF(COUNTIF(at_id,A282)&gt;1,"ERRO: ID do ativo duplicado",IF(COUNTA(K282:O282)&gt;P282,"Pendente: nota inválida (use inteiro de 1 a 3)",IF(P282&lt;5,"Pendente: falta(m) "&amp;(5-P282)&amp;" nota(s)",IF(NOT(cad_limites_ok),"Pendente: corrija os limites A/B em Critérios",IF(K282=3,"A por Segurança = 3","Classe pela soma e limites")))))))</f>
        <v/>
      </c>
    </row>
    <row r="283">
      <c r="A283" s="36" t="n"/>
      <c r="B283" s="36" t="n"/>
      <c r="C283" s="37" t="n"/>
      <c r="D283" s="36" t="n"/>
      <c r="E283" s="38">
        <f>IF(D283="","",IFERROR(INDEX(lst_tipo_nome,MATCH(D283,lst_tipo_id,0)),"Tipo não cadastrado em Listas"))</f>
        <v/>
      </c>
      <c r="F283" s="36" t="n"/>
      <c r="G283" s="36" t="n"/>
      <c r="H283" s="36" t="n"/>
      <c r="I283" s="39" t="n"/>
      <c r="J283" s="38">
        <f>IF(OR(B283="",D283="",H283="",I283=""),"",IF(B283=H283&amp;"-"&amp;IFERROR(INDEX(lst_tipo_sigla,MATCH(D283,lst_tipo_id,0)),"???")&amp;"-"&amp;RIGHT("00"&amp;I283,3),"OK","Verificar: TAG difere de setor-sigla-número"))</f>
        <v/>
      </c>
      <c r="K283" s="39" t="n"/>
      <c r="L283" s="39" t="n"/>
      <c r="M283" s="39" t="n"/>
      <c r="N283" s="39" t="n"/>
      <c r="O283" s="39" t="n"/>
      <c r="P283" s="38">
        <f>IF(COUNTA(A283:D283)+COUNTA(F283:I283)+COUNTA(K283:O283)=0,"",IF(ISNUMBER(K283),AND(K283=INT(K283),K283&gt;=1,K283&lt;=3),FALSE)+IF(ISNUMBER(L283),AND(L283=INT(L283),L283&gt;=1,L283&lt;=3),FALSE)+IF(ISNUMBER(M283),AND(M283=INT(M283),M283&gt;=1,M283&lt;=3),FALSE)+IF(ISNUMBER(N283),AND(N283=INT(N283),N283&gt;=1,N283&lt;=3),FALSE)+IF(ISNUMBER(O283),AND(O283=INT(O283),O283&gt;=1,O283&lt;=3),FALSE))</f>
        <v/>
      </c>
      <c r="Q283" s="38">
        <f>IF(P283=5,SUM(K283:O283),"")</f>
        <v/>
      </c>
      <c r="R283" s="38">
        <f>IF(P283="","",IF(P283&lt;5,"Pendente",IF(NOT(cad_limites_ok),"Pendente",IF(K283=3,"A",IF(Q283&gt;=cad_limite_a,"A",IF(Q283&gt;=cad_limite_b,"B","C"))))))</f>
        <v/>
      </c>
      <c r="S283" s="40">
        <f>IF(P283="","",IF(A283="","Pendente: falta o ID do ativo",IF(COUNTIF(at_id,A283)&gt;1,"ERRO: ID do ativo duplicado",IF(COUNTA(K283:O283)&gt;P283,"Pendente: nota inválida (use inteiro de 1 a 3)",IF(P283&lt;5,"Pendente: falta(m) "&amp;(5-P283)&amp;" nota(s)",IF(NOT(cad_limites_ok),"Pendente: corrija os limites A/B em Critérios",IF(K283=3,"A por Segurança = 3","Classe pela soma e limites")))))))</f>
        <v/>
      </c>
    </row>
    <row r="284">
      <c r="A284" s="36" t="n"/>
      <c r="B284" s="36" t="n"/>
      <c r="C284" s="37" t="n"/>
      <c r="D284" s="36" t="n"/>
      <c r="E284" s="38">
        <f>IF(D284="","",IFERROR(INDEX(lst_tipo_nome,MATCH(D284,lst_tipo_id,0)),"Tipo não cadastrado em Listas"))</f>
        <v/>
      </c>
      <c r="F284" s="36" t="n"/>
      <c r="G284" s="36" t="n"/>
      <c r="H284" s="36" t="n"/>
      <c r="I284" s="39" t="n"/>
      <c r="J284" s="38">
        <f>IF(OR(B284="",D284="",H284="",I284=""),"",IF(B284=H284&amp;"-"&amp;IFERROR(INDEX(lst_tipo_sigla,MATCH(D284,lst_tipo_id,0)),"???")&amp;"-"&amp;RIGHT("00"&amp;I284,3),"OK","Verificar: TAG difere de setor-sigla-número"))</f>
        <v/>
      </c>
      <c r="K284" s="39" t="n"/>
      <c r="L284" s="39" t="n"/>
      <c r="M284" s="39" t="n"/>
      <c r="N284" s="39" t="n"/>
      <c r="O284" s="39" t="n"/>
      <c r="P284" s="38">
        <f>IF(COUNTA(A284:D284)+COUNTA(F284:I284)+COUNTA(K284:O284)=0,"",IF(ISNUMBER(K284),AND(K284=INT(K284),K284&gt;=1,K284&lt;=3),FALSE)+IF(ISNUMBER(L284),AND(L284=INT(L284),L284&gt;=1,L284&lt;=3),FALSE)+IF(ISNUMBER(M284),AND(M284=INT(M284),M284&gt;=1,M284&lt;=3),FALSE)+IF(ISNUMBER(N284),AND(N284=INT(N284),N284&gt;=1,N284&lt;=3),FALSE)+IF(ISNUMBER(O284),AND(O284=INT(O284),O284&gt;=1,O284&lt;=3),FALSE))</f>
        <v/>
      </c>
      <c r="Q284" s="38">
        <f>IF(P284=5,SUM(K284:O284),"")</f>
        <v/>
      </c>
      <c r="R284" s="38">
        <f>IF(P284="","",IF(P284&lt;5,"Pendente",IF(NOT(cad_limites_ok),"Pendente",IF(K284=3,"A",IF(Q284&gt;=cad_limite_a,"A",IF(Q284&gt;=cad_limite_b,"B","C"))))))</f>
        <v/>
      </c>
      <c r="S284" s="40">
        <f>IF(P284="","",IF(A284="","Pendente: falta o ID do ativo",IF(COUNTIF(at_id,A284)&gt;1,"ERRO: ID do ativo duplicado",IF(COUNTA(K284:O284)&gt;P284,"Pendente: nota inválida (use inteiro de 1 a 3)",IF(P284&lt;5,"Pendente: falta(m) "&amp;(5-P284)&amp;" nota(s)",IF(NOT(cad_limites_ok),"Pendente: corrija os limites A/B em Critérios",IF(K284=3,"A por Segurança = 3","Classe pela soma e limites")))))))</f>
        <v/>
      </c>
    </row>
    <row r="285">
      <c r="A285" s="36" t="n"/>
      <c r="B285" s="36" t="n"/>
      <c r="C285" s="37" t="n"/>
      <c r="D285" s="36" t="n"/>
      <c r="E285" s="38">
        <f>IF(D285="","",IFERROR(INDEX(lst_tipo_nome,MATCH(D285,lst_tipo_id,0)),"Tipo não cadastrado em Listas"))</f>
        <v/>
      </c>
      <c r="F285" s="36" t="n"/>
      <c r="G285" s="36" t="n"/>
      <c r="H285" s="36" t="n"/>
      <c r="I285" s="39" t="n"/>
      <c r="J285" s="38">
        <f>IF(OR(B285="",D285="",H285="",I285=""),"",IF(B285=H285&amp;"-"&amp;IFERROR(INDEX(lst_tipo_sigla,MATCH(D285,lst_tipo_id,0)),"???")&amp;"-"&amp;RIGHT("00"&amp;I285,3),"OK","Verificar: TAG difere de setor-sigla-número"))</f>
        <v/>
      </c>
      <c r="K285" s="39" t="n"/>
      <c r="L285" s="39" t="n"/>
      <c r="M285" s="39" t="n"/>
      <c r="N285" s="39" t="n"/>
      <c r="O285" s="39" t="n"/>
      <c r="P285" s="38">
        <f>IF(COUNTA(A285:D285)+COUNTA(F285:I285)+COUNTA(K285:O285)=0,"",IF(ISNUMBER(K285),AND(K285=INT(K285),K285&gt;=1,K285&lt;=3),FALSE)+IF(ISNUMBER(L285),AND(L285=INT(L285),L285&gt;=1,L285&lt;=3),FALSE)+IF(ISNUMBER(M285),AND(M285=INT(M285),M285&gt;=1,M285&lt;=3),FALSE)+IF(ISNUMBER(N285),AND(N285=INT(N285),N285&gt;=1,N285&lt;=3),FALSE)+IF(ISNUMBER(O285),AND(O285=INT(O285),O285&gt;=1,O285&lt;=3),FALSE))</f>
        <v/>
      </c>
      <c r="Q285" s="38">
        <f>IF(P285=5,SUM(K285:O285),"")</f>
        <v/>
      </c>
      <c r="R285" s="38">
        <f>IF(P285="","",IF(P285&lt;5,"Pendente",IF(NOT(cad_limites_ok),"Pendente",IF(K285=3,"A",IF(Q285&gt;=cad_limite_a,"A",IF(Q285&gt;=cad_limite_b,"B","C"))))))</f>
        <v/>
      </c>
      <c r="S285" s="40">
        <f>IF(P285="","",IF(A285="","Pendente: falta o ID do ativo",IF(COUNTIF(at_id,A285)&gt;1,"ERRO: ID do ativo duplicado",IF(COUNTA(K285:O285)&gt;P285,"Pendente: nota inválida (use inteiro de 1 a 3)",IF(P285&lt;5,"Pendente: falta(m) "&amp;(5-P285)&amp;" nota(s)",IF(NOT(cad_limites_ok),"Pendente: corrija os limites A/B em Critérios",IF(K285=3,"A por Segurança = 3","Classe pela soma e limites")))))))</f>
        <v/>
      </c>
    </row>
    <row r="286">
      <c r="A286" s="36" t="n"/>
      <c r="B286" s="36" t="n"/>
      <c r="C286" s="37" t="n"/>
      <c r="D286" s="36" t="n"/>
      <c r="E286" s="38">
        <f>IF(D286="","",IFERROR(INDEX(lst_tipo_nome,MATCH(D286,lst_tipo_id,0)),"Tipo não cadastrado em Listas"))</f>
        <v/>
      </c>
      <c r="F286" s="36" t="n"/>
      <c r="G286" s="36" t="n"/>
      <c r="H286" s="36" t="n"/>
      <c r="I286" s="39" t="n"/>
      <c r="J286" s="38">
        <f>IF(OR(B286="",D286="",H286="",I286=""),"",IF(B286=H286&amp;"-"&amp;IFERROR(INDEX(lst_tipo_sigla,MATCH(D286,lst_tipo_id,0)),"???")&amp;"-"&amp;RIGHT("00"&amp;I286,3),"OK","Verificar: TAG difere de setor-sigla-número"))</f>
        <v/>
      </c>
      <c r="K286" s="39" t="n"/>
      <c r="L286" s="39" t="n"/>
      <c r="M286" s="39" t="n"/>
      <c r="N286" s="39" t="n"/>
      <c r="O286" s="39" t="n"/>
      <c r="P286" s="38">
        <f>IF(COUNTA(A286:D286)+COUNTA(F286:I286)+COUNTA(K286:O286)=0,"",IF(ISNUMBER(K286),AND(K286=INT(K286),K286&gt;=1,K286&lt;=3),FALSE)+IF(ISNUMBER(L286),AND(L286=INT(L286),L286&gt;=1,L286&lt;=3),FALSE)+IF(ISNUMBER(M286),AND(M286=INT(M286),M286&gt;=1,M286&lt;=3),FALSE)+IF(ISNUMBER(N286),AND(N286=INT(N286),N286&gt;=1,N286&lt;=3),FALSE)+IF(ISNUMBER(O286),AND(O286=INT(O286),O286&gt;=1,O286&lt;=3),FALSE))</f>
        <v/>
      </c>
      <c r="Q286" s="38">
        <f>IF(P286=5,SUM(K286:O286),"")</f>
        <v/>
      </c>
      <c r="R286" s="38">
        <f>IF(P286="","",IF(P286&lt;5,"Pendente",IF(NOT(cad_limites_ok),"Pendente",IF(K286=3,"A",IF(Q286&gt;=cad_limite_a,"A",IF(Q286&gt;=cad_limite_b,"B","C"))))))</f>
        <v/>
      </c>
      <c r="S286" s="40">
        <f>IF(P286="","",IF(A286="","Pendente: falta o ID do ativo",IF(COUNTIF(at_id,A286)&gt;1,"ERRO: ID do ativo duplicado",IF(COUNTA(K286:O286)&gt;P286,"Pendente: nota inválida (use inteiro de 1 a 3)",IF(P286&lt;5,"Pendente: falta(m) "&amp;(5-P286)&amp;" nota(s)",IF(NOT(cad_limites_ok),"Pendente: corrija os limites A/B em Critérios",IF(K286=3,"A por Segurança = 3","Classe pela soma e limites")))))))</f>
        <v/>
      </c>
    </row>
    <row r="287">
      <c r="A287" s="36" t="n"/>
      <c r="B287" s="36" t="n"/>
      <c r="C287" s="37" t="n"/>
      <c r="D287" s="36" t="n"/>
      <c r="E287" s="38">
        <f>IF(D287="","",IFERROR(INDEX(lst_tipo_nome,MATCH(D287,lst_tipo_id,0)),"Tipo não cadastrado em Listas"))</f>
        <v/>
      </c>
      <c r="F287" s="36" t="n"/>
      <c r="G287" s="36" t="n"/>
      <c r="H287" s="36" t="n"/>
      <c r="I287" s="39" t="n"/>
      <c r="J287" s="38">
        <f>IF(OR(B287="",D287="",H287="",I287=""),"",IF(B287=H287&amp;"-"&amp;IFERROR(INDEX(lst_tipo_sigla,MATCH(D287,lst_tipo_id,0)),"???")&amp;"-"&amp;RIGHT("00"&amp;I287,3),"OK","Verificar: TAG difere de setor-sigla-número"))</f>
        <v/>
      </c>
      <c r="K287" s="39" t="n"/>
      <c r="L287" s="39" t="n"/>
      <c r="M287" s="39" t="n"/>
      <c r="N287" s="39" t="n"/>
      <c r="O287" s="39" t="n"/>
      <c r="P287" s="38">
        <f>IF(COUNTA(A287:D287)+COUNTA(F287:I287)+COUNTA(K287:O287)=0,"",IF(ISNUMBER(K287),AND(K287=INT(K287),K287&gt;=1,K287&lt;=3),FALSE)+IF(ISNUMBER(L287),AND(L287=INT(L287),L287&gt;=1,L287&lt;=3),FALSE)+IF(ISNUMBER(M287),AND(M287=INT(M287),M287&gt;=1,M287&lt;=3),FALSE)+IF(ISNUMBER(N287),AND(N287=INT(N287),N287&gt;=1,N287&lt;=3),FALSE)+IF(ISNUMBER(O287),AND(O287=INT(O287),O287&gt;=1,O287&lt;=3),FALSE))</f>
        <v/>
      </c>
      <c r="Q287" s="38">
        <f>IF(P287=5,SUM(K287:O287),"")</f>
        <v/>
      </c>
      <c r="R287" s="38">
        <f>IF(P287="","",IF(P287&lt;5,"Pendente",IF(NOT(cad_limites_ok),"Pendente",IF(K287=3,"A",IF(Q287&gt;=cad_limite_a,"A",IF(Q287&gt;=cad_limite_b,"B","C"))))))</f>
        <v/>
      </c>
      <c r="S287" s="40">
        <f>IF(P287="","",IF(A287="","Pendente: falta o ID do ativo",IF(COUNTIF(at_id,A287)&gt;1,"ERRO: ID do ativo duplicado",IF(COUNTA(K287:O287)&gt;P287,"Pendente: nota inválida (use inteiro de 1 a 3)",IF(P287&lt;5,"Pendente: falta(m) "&amp;(5-P287)&amp;" nota(s)",IF(NOT(cad_limites_ok),"Pendente: corrija os limites A/B em Critérios",IF(K287=3,"A por Segurança = 3","Classe pela soma e limites")))))))</f>
        <v/>
      </c>
    </row>
    <row r="288">
      <c r="A288" s="36" t="n"/>
      <c r="B288" s="36" t="n"/>
      <c r="C288" s="37" t="n"/>
      <c r="D288" s="36" t="n"/>
      <c r="E288" s="38">
        <f>IF(D288="","",IFERROR(INDEX(lst_tipo_nome,MATCH(D288,lst_tipo_id,0)),"Tipo não cadastrado em Listas"))</f>
        <v/>
      </c>
      <c r="F288" s="36" t="n"/>
      <c r="G288" s="36" t="n"/>
      <c r="H288" s="36" t="n"/>
      <c r="I288" s="39" t="n"/>
      <c r="J288" s="38">
        <f>IF(OR(B288="",D288="",H288="",I288=""),"",IF(B288=H288&amp;"-"&amp;IFERROR(INDEX(lst_tipo_sigla,MATCH(D288,lst_tipo_id,0)),"???")&amp;"-"&amp;RIGHT("00"&amp;I288,3),"OK","Verificar: TAG difere de setor-sigla-número"))</f>
        <v/>
      </c>
      <c r="K288" s="39" t="n"/>
      <c r="L288" s="39" t="n"/>
      <c r="M288" s="39" t="n"/>
      <c r="N288" s="39" t="n"/>
      <c r="O288" s="39" t="n"/>
      <c r="P288" s="38">
        <f>IF(COUNTA(A288:D288)+COUNTA(F288:I288)+COUNTA(K288:O288)=0,"",IF(ISNUMBER(K288),AND(K288=INT(K288),K288&gt;=1,K288&lt;=3),FALSE)+IF(ISNUMBER(L288),AND(L288=INT(L288),L288&gt;=1,L288&lt;=3),FALSE)+IF(ISNUMBER(M288),AND(M288=INT(M288),M288&gt;=1,M288&lt;=3),FALSE)+IF(ISNUMBER(N288),AND(N288=INT(N288),N288&gt;=1,N288&lt;=3),FALSE)+IF(ISNUMBER(O288),AND(O288=INT(O288),O288&gt;=1,O288&lt;=3),FALSE))</f>
        <v/>
      </c>
      <c r="Q288" s="38">
        <f>IF(P288=5,SUM(K288:O288),"")</f>
        <v/>
      </c>
      <c r="R288" s="38">
        <f>IF(P288="","",IF(P288&lt;5,"Pendente",IF(NOT(cad_limites_ok),"Pendente",IF(K288=3,"A",IF(Q288&gt;=cad_limite_a,"A",IF(Q288&gt;=cad_limite_b,"B","C"))))))</f>
        <v/>
      </c>
      <c r="S288" s="40">
        <f>IF(P288="","",IF(A288="","Pendente: falta o ID do ativo",IF(COUNTIF(at_id,A288)&gt;1,"ERRO: ID do ativo duplicado",IF(COUNTA(K288:O288)&gt;P288,"Pendente: nota inválida (use inteiro de 1 a 3)",IF(P288&lt;5,"Pendente: falta(m) "&amp;(5-P288)&amp;" nota(s)",IF(NOT(cad_limites_ok),"Pendente: corrija os limites A/B em Critérios",IF(K288=3,"A por Segurança = 3","Classe pela soma e limites")))))))</f>
        <v/>
      </c>
    </row>
    <row r="289">
      <c r="A289" s="36" t="n"/>
      <c r="B289" s="36" t="n"/>
      <c r="C289" s="37" t="n"/>
      <c r="D289" s="36" t="n"/>
      <c r="E289" s="38">
        <f>IF(D289="","",IFERROR(INDEX(lst_tipo_nome,MATCH(D289,lst_tipo_id,0)),"Tipo não cadastrado em Listas"))</f>
        <v/>
      </c>
      <c r="F289" s="36" t="n"/>
      <c r="G289" s="36" t="n"/>
      <c r="H289" s="36" t="n"/>
      <c r="I289" s="39" t="n"/>
      <c r="J289" s="38">
        <f>IF(OR(B289="",D289="",H289="",I289=""),"",IF(B289=H289&amp;"-"&amp;IFERROR(INDEX(lst_tipo_sigla,MATCH(D289,lst_tipo_id,0)),"???")&amp;"-"&amp;RIGHT("00"&amp;I289,3),"OK","Verificar: TAG difere de setor-sigla-número"))</f>
        <v/>
      </c>
      <c r="K289" s="39" t="n"/>
      <c r="L289" s="39" t="n"/>
      <c r="M289" s="39" t="n"/>
      <c r="N289" s="39" t="n"/>
      <c r="O289" s="39" t="n"/>
      <c r="P289" s="38">
        <f>IF(COUNTA(A289:D289)+COUNTA(F289:I289)+COUNTA(K289:O289)=0,"",IF(ISNUMBER(K289),AND(K289=INT(K289),K289&gt;=1,K289&lt;=3),FALSE)+IF(ISNUMBER(L289),AND(L289=INT(L289),L289&gt;=1,L289&lt;=3),FALSE)+IF(ISNUMBER(M289),AND(M289=INT(M289),M289&gt;=1,M289&lt;=3),FALSE)+IF(ISNUMBER(N289),AND(N289=INT(N289),N289&gt;=1,N289&lt;=3),FALSE)+IF(ISNUMBER(O289),AND(O289=INT(O289),O289&gt;=1,O289&lt;=3),FALSE))</f>
        <v/>
      </c>
      <c r="Q289" s="38">
        <f>IF(P289=5,SUM(K289:O289),"")</f>
        <v/>
      </c>
      <c r="R289" s="38">
        <f>IF(P289="","",IF(P289&lt;5,"Pendente",IF(NOT(cad_limites_ok),"Pendente",IF(K289=3,"A",IF(Q289&gt;=cad_limite_a,"A",IF(Q289&gt;=cad_limite_b,"B","C"))))))</f>
        <v/>
      </c>
      <c r="S289" s="40">
        <f>IF(P289="","",IF(A289="","Pendente: falta o ID do ativo",IF(COUNTIF(at_id,A289)&gt;1,"ERRO: ID do ativo duplicado",IF(COUNTA(K289:O289)&gt;P289,"Pendente: nota inválida (use inteiro de 1 a 3)",IF(P289&lt;5,"Pendente: falta(m) "&amp;(5-P289)&amp;" nota(s)",IF(NOT(cad_limites_ok),"Pendente: corrija os limites A/B em Critérios",IF(K289=3,"A por Segurança = 3","Classe pela soma e limites")))))))</f>
        <v/>
      </c>
    </row>
    <row r="290">
      <c r="A290" s="36" t="n"/>
      <c r="B290" s="36" t="n"/>
      <c r="C290" s="37" t="n"/>
      <c r="D290" s="36" t="n"/>
      <c r="E290" s="38">
        <f>IF(D290="","",IFERROR(INDEX(lst_tipo_nome,MATCH(D290,lst_tipo_id,0)),"Tipo não cadastrado em Listas"))</f>
        <v/>
      </c>
      <c r="F290" s="36" t="n"/>
      <c r="G290" s="36" t="n"/>
      <c r="H290" s="36" t="n"/>
      <c r="I290" s="39" t="n"/>
      <c r="J290" s="38">
        <f>IF(OR(B290="",D290="",H290="",I290=""),"",IF(B290=H290&amp;"-"&amp;IFERROR(INDEX(lst_tipo_sigla,MATCH(D290,lst_tipo_id,0)),"???")&amp;"-"&amp;RIGHT("00"&amp;I290,3),"OK","Verificar: TAG difere de setor-sigla-número"))</f>
        <v/>
      </c>
      <c r="K290" s="39" t="n"/>
      <c r="L290" s="39" t="n"/>
      <c r="M290" s="39" t="n"/>
      <c r="N290" s="39" t="n"/>
      <c r="O290" s="39" t="n"/>
      <c r="P290" s="38">
        <f>IF(COUNTA(A290:D290)+COUNTA(F290:I290)+COUNTA(K290:O290)=0,"",IF(ISNUMBER(K290),AND(K290=INT(K290),K290&gt;=1,K290&lt;=3),FALSE)+IF(ISNUMBER(L290),AND(L290=INT(L290),L290&gt;=1,L290&lt;=3),FALSE)+IF(ISNUMBER(M290),AND(M290=INT(M290),M290&gt;=1,M290&lt;=3),FALSE)+IF(ISNUMBER(N290),AND(N290=INT(N290),N290&gt;=1,N290&lt;=3),FALSE)+IF(ISNUMBER(O290),AND(O290=INT(O290),O290&gt;=1,O290&lt;=3),FALSE))</f>
        <v/>
      </c>
      <c r="Q290" s="38">
        <f>IF(P290=5,SUM(K290:O290),"")</f>
        <v/>
      </c>
      <c r="R290" s="38">
        <f>IF(P290="","",IF(P290&lt;5,"Pendente",IF(NOT(cad_limites_ok),"Pendente",IF(K290=3,"A",IF(Q290&gt;=cad_limite_a,"A",IF(Q290&gt;=cad_limite_b,"B","C"))))))</f>
        <v/>
      </c>
      <c r="S290" s="40">
        <f>IF(P290="","",IF(A290="","Pendente: falta o ID do ativo",IF(COUNTIF(at_id,A290)&gt;1,"ERRO: ID do ativo duplicado",IF(COUNTA(K290:O290)&gt;P290,"Pendente: nota inválida (use inteiro de 1 a 3)",IF(P290&lt;5,"Pendente: falta(m) "&amp;(5-P290)&amp;" nota(s)",IF(NOT(cad_limites_ok),"Pendente: corrija os limites A/B em Critérios",IF(K290=3,"A por Segurança = 3","Classe pela soma e limites")))))))</f>
        <v/>
      </c>
    </row>
    <row r="291">
      <c r="A291" s="36" t="n"/>
      <c r="B291" s="36" t="n"/>
      <c r="C291" s="37" t="n"/>
      <c r="D291" s="36" t="n"/>
      <c r="E291" s="38">
        <f>IF(D291="","",IFERROR(INDEX(lst_tipo_nome,MATCH(D291,lst_tipo_id,0)),"Tipo não cadastrado em Listas"))</f>
        <v/>
      </c>
      <c r="F291" s="36" t="n"/>
      <c r="G291" s="36" t="n"/>
      <c r="H291" s="36" t="n"/>
      <c r="I291" s="39" t="n"/>
      <c r="J291" s="38">
        <f>IF(OR(B291="",D291="",H291="",I291=""),"",IF(B291=H291&amp;"-"&amp;IFERROR(INDEX(lst_tipo_sigla,MATCH(D291,lst_tipo_id,0)),"???")&amp;"-"&amp;RIGHT("00"&amp;I291,3),"OK","Verificar: TAG difere de setor-sigla-número"))</f>
        <v/>
      </c>
      <c r="K291" s="39" t="n"/>
      <c r="L291" s="39" t="n"/>
      <c r="M291" s="39" t="n"/>
      <c r="N291" s="39" t="n"/>
      <c r="O291" s="39" t="n"/>
      <c r="P291" s="38">
        <f>IF(COUNTA(A291:D291)+COUNTA(F291:I291)+COUNTA(K291:O291)=0,"",IF(ISNUMBER(K291),AND(K291=INT(K291),K291&gt;=1,K291&lt;=3),FALSE)+IF(ISNUMBER(L291),AND(L291=INT(L291),L291&gt;=1,L291&lt;=3),FALSE)+IF(ISNUMBER(M291),AND(M291=INT(M291),M291&gt;=1,M291&lt;=3),FALSE)+IF(ISNUMBER(N291),AND(N291=INT(N291),N291&gt;=1,N291&lt;=3),FALSE)+IF(ISNUMBER(O291),AND(O291=INT(O291),O291&gt;=1,O291&lt;=3),FALSE))</f>
        <v/>
      </c>
      <c r="Q291" s="38">
        <f>IF(P291=5,SUM(K291:O291),"")</f>
        <v/>
      </c>
      <c r="R291" s="38">
        <f>IF(P291="","",IF(P291&lt;5,"Pendente",IF(NOT(cad_limites_ok),"Pendente",IF(K291=3,"A",IF(Q291&gt;=cad_limite_a,"A",IF(Q291&gt;=cad_limite_b,"B","C"))))))</f>
        <v/>
      </c>
      <c r="S291" s="40">
        <f>IF(P291="","",IF(A291="","Pendente: falta o ID do ativo",IF(COUNTIF(at_id,A291)&gt;1,"ERRO: ID do ativo duplicado",IF(COUNTA(K291:O291)&gt;P291,"Pendente: nota inválida (use inteiro de 1 a 3)",IF(P291&lt;5,"Pendente: falta(m) "&amp;(5-P291)&amp;" nota(s)",IF(NOT(cad_limites_ok),"Pendente: corrija os limites A/B em Critérios",IF(K291=3,"A por Segurança = 3","Classe pela soma e limites")))))))</f>
        <v/>
      </c>
    </row>
    <row r="292">
      <c r="A292" s="36" t="n"/>
      <c r="B292" s="36" t="n"/>
      <c r="C292" s="37" t="n"/>
      <c r="D292" s="36" t="n"/>
      <c r="E292" s="38">
        <f>IF(D292="","",IFERROR(INDEX(lst_tipo_nome,MATCH(D292,lst_tipo_id,0)),"Tipo não cadastrado em Listas"))</f>
        <v/>
      </c>
      <c r="F292" s="36" t="n"/>
      <c r="G292" s="36" t="n"/>
      <c r="H292" s="36" t="n"/>
      <c r="I292" s="39" t="n"/>
      <c r="J292" s="38">
        <f>IF(OR(B292="",D292="",H292="",I292=""),"",IF(B292=H292&amp;"-"&amp;IFERROR(INDEX(lst_tipo_sigla,MATCH(D292,lst_tipo_id,0)),"???")&amp;"-"&amp;RIGHT("00"&amp;I292,3),"OK","Verificar: TAG difere de setor-sigla-número"))</f>
        <v/>
      </c>
      <c r="K292" s="39" t="n"/>
      <c r="L292" s="39" t="n"/>
      <c r="M292" s="39" t="n"/>
      <c r="N292" s="39" t="n"/>
      <c r="O292" s="39" t="n"/>
      <c r="P292" s="38">
        <f>IF(COUNTA(A292:D292)+COUNTA(F292:I292)+COUNTA(K292:O292)=0,"",IF(ISNUMBER(K292),AND(K292=INT(K292),K292&gt;=1,K292&lt;=3),FALSE)+IF(ISNUMBER(L292),AND(L292=INT(L292),L292&gt;=1,L292&lt;=3),FALSE)+IF(ISNUMBER(M292),AND(M292=INT(M292),M292&gt;=1,M292&lt;=3),FALSE)+IF(ISNUMBER(N292),AND(N292=INT(N292),N292&gt;=1,N292&lt;=3),FALSE)+IF(ISNUMBER(O292),AND(O292=INT(O292),O292&gt;=1,O292&lt;=3),FALSE))</f>
        <v/>
      </c>
      <c r="Q292" s="38">
        <f>IF(P292=5,SUM(K292:O292),"")</f>
        <v/>
      </c>
      <c r="R292" s="38">
        <f>IF(P292="","",IF(P292&lt;5,"Pendente",IF(NOT(cad_limites_ok),"Pendente",IF(K292=3,"A",IF(Q292&gt;=cad_limite_a,"A",IF(Q292&gt;=cad_limite_b,"B","C"))))))</f>
        <v/>
      </c>
      <c r="S292" s="40">
        <f>IF(P292="","",IF(A292="","Pendente: falta o ID do ativo",IF(COUNTIF(at_id,A292)&gt;1,"ERRO: ID do ativo duplicado",IF(COUNTA(K292:O292)&gt;P292,"Pendente: nota inválida (use inteiro de 1 a 3)",IF(P292&lt;5,"Pendente: falta(m) "&amp;(5-P292)&amp;" nota(s)",IF(NOT(cad_limites_ok),"Pendente: corrija os limites A/B em Critérios",IF(K292=3,"A por Segurança = 3","Classe pela soma e limites")))))))</f>
        <v/>
      </c>
    </row>
    <row r="293">
      <c r="A293" s="36" t="n"/>
      <c r="B293" s="36" t="n"/>
      <c r="C293" s="37" t="n"/>
      <c r="D293" s="36" t="n"/>
      <c r="E293" s="38">
        <f>IF(D293="","",IFERROR(INDEX(lst_tipo_nome,MATCH(D293,lst_tipo_id,0)),"Tipo não cadastrado em Listas"))</f>
        <v/>
      </c>
      <c r="F293" s="36" t="n"/>
      <c r="G293" s="36" t="n"/>
      <c r="H293" s="36" t="n"/>
      <c r="I293" s="39" t="n"/>
      <c r="J293" s="38">
        <f>IF(OR(B293="",D293="",H293="",I293=""),"",IF(B293=H293&amp;"-"&amp;IFERROR(INDEX(lst_tipo_sigla,MATCH(D293,lst_tipo_id,0)),"???")&amp;"-"&amp;RIGHT("00"&amp;I293,3),"OK","Verificar: TAG difere de setor-sigla-número"))</f>
        <v/>
      </c>
      <c r="K293" s="39" t="n"/>
      <c r="L293" s="39" t="n"/>
      <c r="M293" s="39" t="n"/>
      <c r="N293" s="39" t="n"/>
      <c r="O293" s="39" t="n"/>
      <c r="P293" s="38">
        <f>IF(COUNTA(A293:D293)+COUNTA(F293:I293)+COUNTA(K293:O293)=0,"",IF(ISNUMBER(K293),AND(K293=INT(K293),K293&gt;=1,K293&lt;=3),FALSE)+IF(ISNUMBER(L293),AND(L293=INT(L293),L293&gt;=1,L293&lt;=3),FALSE)+IF(ISNUMBER(M293),AND(M293=INT(M293),M293&gt;=1,M293&lt;=3),FALSE)+IF(ISNUMBER(N293),AND(N293=INT(N293),N293&gt;=1,N293&lt;=3),FALSE)+IF(ISNUMBER(O293),AND(O293=INT(O293),O293&gt;=1,O293&lt;=3),FALSE))</f>
        <v/>
      </c>
      <c r="Q293" s="38">
        <f>IF(P293=5,SUM(K293:O293),"")</f>
        <v/>
      </c>
      <c r="R293" s="38">
        <f>IF(P293="","",IF(P293&lt;5,"Pendente",IF(NOT(cad_limites_ok),"Pendente",IF(K293=3,"A",IF(Q293&gt;=cad_limite_a,"A",IF(Q293&gt;=cad_limite_b,"B","C"))))))</f>
        <v/>
      </c>
      <c r="S293" s="40">
        <f>IF(P293="","",IF(A293="","Pendente: falta o ID do ativo",IF(COUNTIF(at_id,A293)&gt;1,"ERRO: ID do ativo duplicado",IF(COUNTA(K293:O293)&gt;P293,"Pendente: nota inválida (use inteiro de 1 a 3)",IF(P293&lt;5,"Pendente: falta(m) "&amp;(5-P293)&amp;" nota(s)",IF(NOT(cad_limites_ok),"Pendente: corrija os limites A/B em Critérios",IF(K293=3,"A por Segurança = 3","Classe pela soma e limites")))))))</f>
        <v/>
      </c>
    </row>
    <row r="294">
      <c r="A294" s="36" t="n"/>
      <c r="B294" s="36" t="n"/>
      <c r="C294" s="37" t="n"/>
      <c r="D294" s="36" t="n"/>
      <c r="E294" s="38">
        <f>IF(D294="","",IFERROR(INDEX(lst_tipo_nome,MATCH(D294,lst_tipo_id,0)),"Tipo não cadastrado em Listas"))</f>
        <v/>
      </c>
      <c r="F294" s="36" t="n"/>
      <c r="G294" s="36" t="n"/>
      <c r="H294" s="36" t="n"/>
      <c r="I294" s="39" t="n"/>
      <c r="J294" s="38">
        <f>IF(OR(B294="",D294="",H294="",I294=""),"",IF(B294=H294&amp;"-"&amp;IFERROR(INDEX(lst_tipo_sigla,MATCH(D294,lst_tipo_id,0)),"???")&amp;"-"&amp;RIGHT("00"&amp;I294,3),"OK","Verificar: TAG difere de setor-sigla-número"))</f>
        <v/>
      </c>
      <c r="K294" s="39" t="n"/>
      <c r="L294" s="39" t="n"/>
      <c r="M294" s="39" t="n"/>
      <c r="N294" s="39" t="n"/>
      <c r="O294" s="39" t="n"/>
      <c r="P294" s="38">
        <f>IF(COUNTA(A294:D294)+COUNTA(F294:I294)+COUNTA(K294:O294)=0,"",IF(ISNUMBER(K294),AND(K294=INT(K294),K294&gt;=1,K294&lt;=3),FALSE)+IF(ISNUMBER(L294),AND(L294=INT(L294),L294&gt;=1,L294&lt;=3),FALSE)+IF(ISNUMBER(M294),AND(M294=INT(M294),M294&gt;=1,M294&lt;=3),FALSE)+IF(ISNUMBER(N294),AND(N294=INT(N294),N294&gt;=1,N294&lt;=3),FALSE)+IF(ISNUMBER(O294),AND(O294=INT(O294),O294&gt;=1,O294&lt;=3),FALSE))</f>
        <v/>
      </c>
      <c r="Q294" s="38">
        <f>IF(P294=5,SUM(K294:O294),"")</f>
        <v/>
      </c>
      <c r="R294" s="38">
        <f>IF(P294="","",IF(P294&lt;5,"Pendente",IF(NOT(cad_limites_ok),"Pendente",IF(K294=3,"A",IF(Q294&gt;=cad_limite_a,"A",IF(Q294&gt;=cad_limite_b,"B","C"))))))</f>
        <v/>
      </c>
      <c r="S294" s="40">
        <f>IF(P294="","",IF(A294="","Pendente: falta o ID do ativo",IF(COUNTIF(at_id,A294)&gt;1,"ERRO: ID do ativo duplicado",IF(COUNTA(K294:O294)&gt;P294,"Pendente: nota inválida (use inteiro de 1 a 3)",IF(P294&lt;5,"Pendente: falta(m) "&amp;(5-P294)&amp;" nota(s)",IF(NOT(cad_limites_ok),"Pendente: corrija os limites A/B em Critérios",IF(K294=3,"A por Segurança = 3","Classe pela soma e limites")))))))</f>
        <v/>
      </c>
    </row>
    <row r="295">
      <c r="A295" s="36" t="n"/>
      <c r="B295" s="36" t="n"/>
      <c r="C295" s="37" t="n"/>
      <c r="D295" s="36" t="n"/>
      <c r="E295" s="38">
        <f>IF(D295="","",IFERROR(INDEX(lst_tipo_nome,MATCH(D295,lst_tipo_id,0)),"Tipo não cadastrado em Listas"))</f>
        <v/>
      </c>
      <c r="F295" s="36" t="n"/>
      <c r="G295" s="36" t="n"/>
      <c r="H295" s="36" t="n"/>
      <c r="I295" s="39" t="n"/>
      <c r="J295" s="38">
        <f>IF(OR(B295="",D295="",H295="",I295=""),"",IF(B295=H295&amp;"-"&amp;IFERROR(INDEX(lst_tipo_sigla,MATCH(D295,lst_tipo_id,0)),"???")&amp;"-"&amp;RIGHT("00"&amp;I295,3),"OK","Verificar: TAG difere de setor-sigla-número"))</f>
        <v/>
      </c>
      <c r="K295" s="39" t="n"/>
      <c r="L295" s="39" t="n"/>
      <c r="M295" s="39" t="n"/>
      <c r="N295" s="39" t="n"/>
      <c r="O295" s="39" t="n"/>
      <c r="P295" s="38">
        <f>IF(COUNTA(A295:D295)+COUNTA(F295:I295)+COUNTA(K295:O295)=0,"",IF(ISNUMBER(K295),AND(K295=INT(K295),K295&gt;=1,K295&lt;=3),FALSE)+IF(ISNUMBER(L295),AND(L295=INT(L295),L295&gt;=1,L295&lt;=3),FALSE)+IF(ISNUMBER(M295),AND(M295=INT(M295),M295&gt;=1,M295&lt;=3),FALSE)+IF(ISNUMBER(N295),AND(N295=INT(N295),N295&gt;=1,N295&lt;=3),FALSE)+IF(ISNUMBER(O295),AND(O295=INT(O295),O295&gt;=1,O295&lt;=3),FALSE))</f>
        <v/>
      </c>
      <c r="Q295" s="38">
        <f>IF(P295=5,SUM(K295:O295),"")</f>
        <v/>
      </c>
      <c r="R295" s="38">
        <f>IF(P295="","",IF(P295&lt;5,"Pendente",IF(NOT(cad_limites_ok),"Pendente",IF(K295=3,"A",IF(Q295&gt;=cad_limite_a,"A",IF(Q295&gt;=cad_limite_b,"B","C"))))))</f>
        <v/>
      </c>
      <c r="S295" s="40">
        <f>IF(P295="","",IF(A295="","Pendente: falta o ID do ativo",IF(COUNTIF(at_id,A295)&gt;1,"ERRO: ID do ativo duplicado",IF(COUNTA(K295:O295)&gt;P295,"Pendente: nota inválida (use inteiro de 1 a 3)",IF(P295&lt;5,"Pendente: falta(m) "&amp;(5-P295)&amp;" nota(s)",IF(NOT(cad_limites_ok),"Pendente: corrija os limites A/B em Critérios",IF(K295=3,"A por Segurança = 3","Classe pela soma e limites")))))))</f>
        <v/>
      </c>
    </row>
    <row r="296">
      <c r="A296" s="36" t="n"/>
      <c r="B296" s="36" t="n"/>
      <c r="C296" s="37" t="n"/>
      <c r="D296" s="36" t="n"/>
      <c r="E296" s="38">
        <f>IF(D296="","",IFERROR(INDEX(lst_tipo_nome,MATCH(D296,lst_tipo_id,0)),"Tipo não cadastrado em Listas"))</f>
        <v/>
      </c>
      <c r="F296" s="36" t="n"/>
      <c r="G296" s="36" t="n"/>
      <c r="H296" s="36" t="n"/>
      <c r="I296" s="39" t="n"/>
      <c r="J296" s="38">
        <f>IF(OR(B296="",D296="",H296="",I296=""),"",IF(B296=H296&amp;"-"&amp;IFERROR(INDEX(lst_tipo_sigla,MATCH(D296,lst_tipo_id,0)),"???")&amp;"-"&amp;RIGHT("00"&amp;I296,3),"OK","Verificar: TAG difere de setor-sigla-número"))</f>
        <v/>
      </c>
      <c r="K296" s="39" t="n"/>
      <c r="L296" s="39" t="n"/>
      <c r="M296" s="39" t="n"/>
      <c r="N296" s="39" t="n"/>
      <c r="O296" s="39" t="n"/>
      <c r="P296" s="38">
        <f>IF(COUNTA(A296:D296)+COUNTA(F296:I296)+COUNTA(K296:O296)=0,"",IF(ISNUMBER(K296),AND(K296=INT(K296),K296&gt;=1,K296&lt;=3),FALSE)+IF(ISNUMBER(L296),AND(L296=INT(L296),L296&gt;=1,L296&lt;=3),FALSE)+IF(ISNUMBER(M296),AND(M296=INT(M296),M296&gt;=1,M296&lt;=3),FALSE)+IF(ISNUMBER(N296),AND(N296=INT(N296),N296&gt;=1,N296&lt;=3),FALSE)+IF(ISNUMBER(O296),AND(O296=INT(O296),O296&gt;=1,O296&lt;=3),FALSE))</f>
        <v/>
      </c>
      <c r="Q296" s="38">
        <f>IF(P296=5,SUM(K296:O296),"")</f>
        <v/>
      </c>
      <c r="R296" s="38">
        <f>IF(P296="","",IF(P296&lt;5,"Pendente",IF(NOT(cad_limites_ok),"Pendente",IF(K296=3,"A",IF(Q296&gt;=cad_limite_a,"A",IF(Q296&gt;=cad_limite_b,"B","C"))))))</f>
        <v/>
      </c>
      <c r="S296" s="40">
        <f>IF(P296="","",IF(A296="","Pendente: falta o ID do ativo",IF(COUNTIF(at_id,A296)&gt;1,"ERRO: ID do ativo duplicado",IF(COUNTA(K296:O296)&gt;P296,"Pendente: nota inválida (use inteiro de 1 a 3)",IF(P296&lt;5,"Pendente: falta(m) "&amp;(5-P296)&amp;" nota(s)",IF(NOT(cad_limites_ok),"Pendente: corrija os limites A/B em Critérios",IF(K296=3,"A por Segurança = 3","Classe pela soma e limites")))))))</f>
        <v/>
      </c>
    </row>
    <row r="297">
      <c r="A297" s="36" t="n"/>
      <c r="B297" s="36" t="n"/>
      <c r="C297" s="37" t="n"/>
      <c r="D297" s="36" t="n"/>
      <c r="E297" s="38">
        <f>IF(D297="","",IFERROR(INDEX(lst_tipo_nome,MATCH(D297,lst_tipo_id,0)),"Tipo não cadastrado em Listas"))</f>
        <v/>
      </c>
      <c r="F297" s="36" t="n"/>
      <c r="G297" s="36" t="n"/>
      <c r="H297" s="36" t="n"/>
      <c r="I297" s="39" t="n"/>
      <c r="J297" s="38">
        <f>IF(OR(B297="",D297="",H297="",I297=""),"",IF(B297=H297&amp;"-"&amp;IFERROR(INDEX(lst_tipo_sigla,MATCH(D297,lst_tipo_id,0)),"???")&amp;"-"&amp;RIGHT("00"&amp;I297,3),"OK","Verificar: TAG difere de setor-sigla-número"))</f>
        <v/>
      </c>
      <c r="K297" s="39" t="n"/>
      <c r="L297" s="39" t="n"/>
      <c r="M297" s="39" t="n"/>
      <c r="N297" s="39" t="n"/>
      <c r="O297" s="39" t="n"/>
      <c r="P297" s="38">
        <f>IF(COUNTA(A297:D297)+COUNTA(F297:I297)+COUNTA(K297:O297)=0,"",IF(ISNUMBER(K297),AND(K297=INT(K297),K297&gt;=1,K297&lt;=3),FALSE)+IF(ISNUMBER(L297),AND(L297=INT(L297),L297&gt;=1,L297&lt;=3),FALSE)+IF(ISNUMBER(M297),AND(M297=INT(M297),M297&gt;=1,M297&lt;=3),FALSE)+IF(ISNUMBER(N297),AND(N297=INT(N297),N297&gt;=1,N297&lt;=3),FALSE)+IF(ISNUMBER(O297),AND(O297=INT(O297),O297&gt;=1,O297&lt;=3),FALSE))</f>
        <v/>
      </c>
      <c r="Q297" s="38">
        <f>IF(P297=5,SUM(K297:O297),"")</f>
        <v/>
      </c>
      <c r="R297" s="38">
        <f>IF(P297="","",IF(P297&lt;5,"Pendente",IF(NOT(cad_limites_ok),"Pendente",IF(K297=3,"A",IF(Q297&gt;=cad_limite_a,"A",IF(Q297&gt;=cad_limite_b,"B","C"))))))</f>
        <v/>
      </c>
      <c r="S297" s="40">
        <f>IF(P297="","",IF(A297="","Pendente: falta o ID do ativo",IF(COUNTIF(at_id,A297)&gt;1,"ERRO: ID do ativo duplicado",IF(COUNTA(K297:O297)&gt;P297,"Pendente: nota inválida (use inteiro de 1 a 3)",IF(P297&lt;5,"Pendente: falta(m) "&amp;(5-P297)&amp;" nota(s)",IF(NOT(cad_limites_ok),"Pendente: corrija os limites A/B em Critérios",IF(K297=3,"A por Segurança = 3","Classe pela soma e limites")))))))</f>
        <v/>
      </c>
    </row>
    <row r="298">
      <c r="A298" s="36" t="n"/>
      <c r="B298" s="36" t="n"/>
      <c r="C298" s="37" t="n"/>
      <c r="D298" s="36" t="n"/>
      <c r="E298" s="38">
        <f>IF(D298="","",IFERROR(INDEX(lst_tipo_nome,MATCH(D298,lst_tipo_id,0)),"Tipo não cadastrado em Listas"))</f>
        <v/>
      </c>
      <c r="F298" s="36" t="n"/>
      <c r="G298" s="36" t="n"/>
      <c r="H298" s="36" t="n"/>
      <c r="I298" s="39" t="n"/>
      <c r="J298" s="38">
        <f>IF(OR(B298="",D298="",H298="",I298=""),"",IF(B298=H298&amp;"-"&amp;IFERROR(INDEX(lst_tipo_sigla,MATCH(D298,lst_tipo_id,0)),"???")&amp;"-"&amp;RIGHT("00"&amp;I298,3),"OK","Verificar: TAG difere de setor-sigla-número"))</f>
        <v/>
      </c>
      <c r="K298" s="39" t="n"/>
      <c r="L298" s="39" t="n"/>
      <c r="M298" s="39" t="n"/>
      <c r="N298" s="39" t="n"/>
      <c r="O298" s="39" t="n"/>
      <c r="P298" s="38">
        <f>IF(COUNTA(A298:D298)+COUNTA(F298:I298)+COUNTA(K298:O298)=0,"",IF(ISNUMBER(K298),AND(K298=INT(K298),K298&gt;=1,K298&lt;=3),FALSE)+IF(ISNUMBER(L298),AND(L298=INT(L298),L298&gt;=1,L298&lt;=3),FALSE)+IF(ISNUMBER(M298),AND(M298=INT(M298),M298&gt;=1,M298&lt;=3),FALSE)+IF(ISNUMBER(N298),AND(N298=INT(N298),N298&gt;=1,N298&lt;=3),FALSE)+IF(ISNUMBER(O298),AND(O298=INT(O298),O298&gt;=1,O298&lt;=3),FALSE))</f>
        <v/>
      </c>
      <c r="Q298" s="38">
        <f>IF(P298=5,SUM(K298:O298),"")</f>
        <v/>
      </c>
      <c r="R298" s="38">
        <f>IF(P298="","",IF(P298&lt;5,"Pendente",IF(NOT(cad_limites_ok),"Pendente",IF(K298=3,"A",IF(Q298&gt;=cad_limite_a,"A",IF(Q298&gt;=cad_limite_b,"B","C"))))))</f>
        <v/>
      </c>
      <c r="S298" s="40">
        <f>IF(P298="","",IF(A298="","Pendente: falta o ID do ativo",IF(COUNTIF(at_id,A298)&gt;1,"ERRO: ID do ativo duplicado",IF(COUNTA(K298:O298)&gt;P298,"Pendente: nota inválida (use inteiro de 1 a 3)",IF(P298&lt;5,"Pendente: falta(m) "&amp;(5-P298)&amp;" nota(s)",IF(NOT(cad_limites_ok),"Pendente: corrija os limites A/B em Critérios",IF(K298=3,"A por Segurança = 3","Classe pela soma e limites")))))))</f>
        <v/>
      </c>
    </row>
    <row r="299">
      <c r="A299" s="36" t="n"/>
      <c r="B299" s="36" t="n"/>
      <c r="C299" s="37" t="n"/>
      <c r="D299" s="36" t="n"/>
      <c r="E299" s="38">
        <f>IF(D299="","",IFERROR(INDEX(lst_tipo_nome,MATCH(D299,lst_tipo_id,0)),"Tipo não cadastrado em Listas"))</f>
        <v/>
      </c>
      <c r="F299" s="36" t="n"/>
      <c r="G299" s="36" t="n"/>
      <c r="H299" s="36" t="n"/>
      <c r="I299" s="39" t="n"/>
      <c r="J299" s="38">
        <f>IF(OR(B299="",D299="",H299="",I299=""),"",IF(B299=H299&amp;"-"&amp;IFERROR(INDEX(lst_tipo_sigla,MATCH(D299,lst_tipo_id,0)),"???")&amp;"-"&amp;RIGHT("00"&amp;I299,3),"OK","Verificar: TAG difere de setor-sigla-número"))</f>
        <v/>
      </c>
      <c r="K299" s="39" t="n"/>
      <c r="L299" s="39" t="n"/>
      <c r="M299" s="39" t="n"/>
      <c r="N299" s="39" t="n"/>
      <c r="O299" s="39" t="n"/>
      <c r="P299" s="38">
        <f>IF(COUNTA(A299:D299)+COUNTA(F299:I299)+COUNTA(K299:O299)=0,"",IF(ISNUMBER(K299),AND(K299=INT(K299),K299&gt;=1,K299&lt;=3),FALSE)+IF(ISNUMBER(L299),AND(L299=INT(L299),L299&gt;=1,L299&lt;=3),FALSE)+IF(ISNUMBER(M299),AND(M299=INT(M299),M299&gt;=1,M299&lt;=3),FALSE)+IF(ISNUMBER(N299),AND(N299=INT(N299),N299&gt;=1,N299&lt;=3),FALSE)+IF(ISNUMBER(O299),AND(O299=INT(O299),O299&gt;=1,O299&lt;=3),FALSE))</f>
        <v/>
      </c>
      <c r="Q299" s="38">
        <f>IF(P299=5,SUM(K299:O299),"")</f>
        <v/>
      </c>
      <c r="R299" s="38">
        <f>IF(P299="","",IF(P299&lt;5,"Pendente",IF(NOT(cad_limites_ok),"Pendente",IF(K299=3,"A",IF(Q299&gt;=cad_limite_a,"A",IF(Q299&gt;=cad_limite_b,"B","C"))))))</f>
        <v/>
      </c>
      <c r="S299" s="40">
        <f>IF(P299="","",IF(A299="","Pendente: falta o ID do ativo",IF(COUNTIF(at_id,A299)&gt;1,"ERRO: ID do ativo duplicado",IF(COUNTA(K299:O299)&gt;P299,"Pendente: nota inválida (use inteiro de 1 a 3)",IF(P299&lt;5,"Pendente: falta(m) "&amp;(5-P299)&amp;" nota(s)",IF(NOT(cad_limites_ok),"Pendente: corrija os limites A/B em Critérios",IF(K299=3,"A por Segurança = 3","Classe pela soma e limites")))))))</f>
        <v/>
      </c>
    </row>
    <row r="300">
      <c r="A300" s="36" t="n"/>
      <c r="B300" s="36" t="n"/>
      <c r="C300" s="37" t="n"/>
      <c r="D300" s="36" t="n"/>
      <c r="E300" s="38">
        <f>IF(D300="","",IFERROR(INDEX(lst_tipo_nome,MATCH(D300,lst_tipo_id,0)),"Tipo não cadastrado em Listas"))</f>
        <v/>
      </c>
      <c r="F300" s="36" t="n"/>
      <c r="G300" s="36" t="n"/>
      <c r="H300" s="36" t="n"/>
      <c r="I300" s="39" t="n"/>
      <c r="J300" s="38">
        <f>IF(OR(B300="",D300="",H300="",I300=""),"",IF(B300=H300&amp;"-"&amp;IFERROR(INDEX(lst_tipo_sigla,MATCH(D300,lst_tipo_id,0)),"???")&amp;"-"&amp;RIGHT("00"&amp;I300,3),"OK","Verificar: TAG difere de setor-sigla-número"))</f>
        <v/>
      </c>
      <c r="K300" s="39" t="n"/>
      <c r="L300" s="39" t="n"/>
      <c r="M300" s="39" t="n"/>
      <c r="N300" s="39" t="n"/>
      <c r="O300" s="39" t="n"/>
      <c r="P300" s="38">
        <f>IF(COUNTA(A300:D300)+COUNTA(F300:I300)+COUNTA(K300:O300)=0,"",IF(ISNUMBER(K300),AND(K300=INT(K300),K300&gt;=1,K300&lt;=3),FALSE)+IF(ISNUMBER(L300),AND(L300=INT(L300),L300&gt;=1,L300&lt;=3),FALSE)+IF(ISNUMBER(M300),AND(M300=INT(M300),M300&gt;=1,M300&lt;=3),FALSE)+IF(ISNUMBER(N300),AND(N300=INT(N300),N300&gt;=1,N300&lt;=3),FALSE)+IF(ISNUMBER(O300),AND(O300=INT(O300),O300&gt;=1,O300&lt;=3),FALSE))</f>
        <v/>
      </c>
      <c r="Q300" s="38">
        <f>IF(P300=5,SUM(K300:O300),"")</f>
        <v/>
      </c>
      <c r="R300" s="38">
        <f>IF(P300="","",IF(P300&lt;5,"Pendente",IF(NOT(cad_limites_ok),"Pendente",IF(K300=3,"A",IF(Q300&gt;=cad_limite_a,"A",IF(Q300&gt;=cad_limite_b,"B","C"))))))</f>
        <v/>
      </c>
      <c r="S300" s="40">
        <f>IF(P300="","",IF(A300="","Pendente: falta o ID do ativo",IF(COUNTIF(at_id,A300)&gt;1,"ERRO: ID do ativo duplicado",IF(COUNTA(K300:O300)&gt;P300,"Pendente: nota inválida (use inteiro de 1 a 3)",IF(P300&lt;5,"Pendente: falta(m) "&amp;(5-P300)&amp;" nota(s)",IF(NOT(cad_limites_ok),"Pendente: corrija os limites A/B em Critérios",IF(K300=3,"A por Segurança = 3","Classe pela soma e limites")))))))</f>
        <v/>
      </c>
    </row>
    <row r="301">
      <c r="A301" s="36" t="n"/>
      <c r="B301" s="36" t="n"/>
      <c r="C301" s="37" t="n"/>
      <c r="D301" s="36" t="n"/>
      <c r="E301" s="38">
        <f>IF(D301="","",IFERROR(INDEX(lst_tipo_nome,MATCH(D301,lst_tipo_id,0)),"Tipo não cadastrado em Listas"))</f>
        <v/>
      </c>
      <c r="F301" s="36" t="n"/>
      <c r="G301" s="36" t="n"/>
      <c r="H301" s="36" t="n"/>
      <c r="I301" s="39" t="n"/>
      <c r="J301" s="38">
        <f>IF(OR(B301="",D301="",H301="",I301=""),"",IF(B301=H301&amp;"-"&amp;IFERROR(INDEX(lst_tipo_sigla,MATCH(D301,lst_tipo_id,0)),"???")&amp;"-"&amp;RIGHT("00"&amp;I301,3),"OK","Verificar: TAG difere de setor-sigla-número"))</f>
        <v/>
      </c>
      <c r="K301" s="39" t="n"/>
      <c r="L301" s="39" t="n"/>
      <c r="M301" s="39" t="n"/>
      <c r="N301" s="39" t="n"/>
      <c r="O301" s="39" t="n"/>
      <c r="P301" s="38">
        <f>IF(COUNTA(A301:D301)+COUNTA(F301:I301)+COUNTA(K301:O301)=0,"",IF(ISNUMBER(K301),AND(K301=INT(K301),K301&gt;=1,K301&lt;=3),FALSE)+IF(ISNUMBER(L301),AND(L301=INT(L301),L301&gt;=1,L301&lt;=3),FALSE)+IF(ISNUMBER(M301),AND(M301=INT(M301),M301&gt;=1,M301&lt;=3),FALSE)+IF(ISNUMBER(N301),AND(N301=INT(N301),N301&gt;=1,N301&lt;=3),FALSE)+IF(ISNUMBER(O301),AND(O301=INT(O301),O301&gt;=1,O301&lt;=3),FALSE))</f>
        <v/>
      </c>
      <c r="Q301" s="38">
        <f>IF(P301=5,SUM(K301:O301),"")</f>
        <v/>
      </c>
      <c r="R301" s="38">
        <f>IF(P301="","",IF(P301&lt;5,"Pendente",IF(NOT(cad_limites_ok),"Pendente",IF(K301=3,"A",IF(Q301&gt;=cad_limite_a,"A",IF(Q301&gt;=cad_limite_b,"B","C"))))))</f>
        <v/>
      </c>
      <c r="S301" s="40">
        <f>IF(P301="","",IF(A301="","Pendente: falta o ID do ativo",IF(COUNTIF(at_id,A301)&gt;1,"ERRO: ID do ativo duplicado",IF(COUNTA(K301:O301)&gt;P301,"Pendente: nota inválida (use inteiro de 1 a 3)",IF(P301&lt;5,"Pendente: falta(m) "&amp;(5-P301)&amp;" nota(s)",IF(NOT(cad_limites_ok),"Pendente: corrija os limites A/B em Critérios",IF(K301=3,"A por Segurança = 3","Classe pela soma e limites")))))))</f>
        <v/>
      </c>
    </row>
    <row r="302">
      <c r="A302" s="36" t="n"/>
      <c r="B302" s="36" t="n"/>
      <c r="C302" s="37" t="n"/>
      <c r="D302" s="36" t="n"/>
      <c r="E302" s="38">
        <f>IF(D302="","",IFERROR(INDEX(lst_tipo_nome,MATCH(D302,lst_tipo_id,0)),"Tipo não cadastrado em Listas"))</f>
        <v/>
      </c>
      <c r="F302" s="36" t="n"/>
      <c r="G302" s="36" t="n"/>
      <c r="H302" s="36" t="n"/>
      <c r="I302" s="39" t="n"/>
      <c r="J302" s="38">
        <f>IF(OR(B302="",D302="",H302="",I302=""),"",IF(B302=H302&amp;"-"&amp;IFERROR(INDEX(lst_tipo_sigla,MATCH(D302,lst_tipo_id,0)),"???")&amp;"-"&amp;RIGHT("00"&amp;I302,3),"OK","Verificar: TAG difere de setor-sigla-número"))</f>
        <v/>
      </c>
      <c r="K302" s="39" t="n"/>
      <c r="L302" s="39" t="n"/>
      <c r="M302" s="39" t="n"/>
      <c r="N302" s="39" t="n"/>
      <c r="O302" s="39" t="n"/>
      <c r="P302" s="38">
        <f>IF(COUNTA(A302:D302)+COUNTA(F302:I302)+COUNTA(K302:O302)=0,"",IF(ISNUMBER(K302),AND(K302=INT(K302),K302&gt;=1,K302&lt;=3),FALSE)+IF(ISNUMBER(L302),AND(L302=INT(L302),L302&gt;=1,L302&lt;=3),FALSE)+IF(ISNUMBER(M302),AND(M302=INT(M302),M302&gt;=1,M302&lt;=3),FALSE)+IF(ISNUMBER(N302),AND(N302=INT(N302),N302&gt;=1,N302&lt;=3),FALSE)+IF(ISNUMBER(O302),AND(O302=INT(O302),O302&gt;=1,O302&lt;=3),FALSE))</f>
        <v/>
      </c>
      <c r="Q302" s="38">
        <f>IF(P302=5,SUM(K302:O302),"")</f>
        <v/>
      </c>
      <c r="R302" s="38">
        <f>IF(P302="","",IF(P302&lt;5,"Pendente",IF(NOT(cad_limites_ok),"Pendente",IF(K302=3,"A",IF(Q302&gt;=cad_limite_a,"A",IF(Q302&gt;=cad_limite_b,"B","C"))))))</f>
        <v/>
      </c>
      <c r="S302" s="40">
        <f>IF(P302="","",IF(A302="","Pendente: falta o ID do ativo",IF(COUNTIF(at_id,A302)&gt;1,"ERRO: ID do ativo duplicado",IF(COUNTA(K302:O302)&gt;P302,"Pendente: nota inválida (use inteiro de 1 a 3)",IF(P302&lt;5,"Pendente: falta(m) "&amp;(5-P302)&amp;" nota(s)",IF(NOT(cad_limites_ok),"Pendente: corrija os limites A/B em Critérios",IF(K302=3,"A por Segurança = 3","Classe pela soma e limites")))))))</f>
        <v/>
      </c>
    </row>
    <row r="303">
      <c r="A303" s="36" t="n"/>
      <c r="B303" s="36" t="n"/>
      <c r="C303" s="37" t="n"/>
      <c r="D303" s="36" t="n"/>
      <c r="E303" s="38">
        <f>IF(D303="","",IFERROR(INDEX(lst_tipo_nome,MATCH(D303,lst_tipo_id,0)),"Tipo não cadastrado em Listas"))</f>
        <v/>
      </c>
      <c r="F303" s="36" t="n"/>
      <c r="G303" s="36" t="n"/>
      <c r="H303" s="36" t="n"/>
      <c r="I303" s="39" t="n"/>
      <c r="J303" s="38">
        <f>IF(OR(B303="",D303="",H303="",I303=""),"",IF(B303=H303&amp;"-"&amp;IFERROR(INDEX(lst_tipo_sigla,MATCH(D303,lst_tipo_id,0)),"???")&amp;"-"&amp;RIGHT("00"&amp;I303,3),"OK","Verificar: TAG difere de setor-sigla-número"))</f>
        <v/>
      </c>
      <c r="K303" s="39" t="n"/>
      <c r="L303" s="39" t="n"/>
      <c r="M303" s="39" t="n"/>
      <c r="N303" s="39" t="n"/>
      <c r="O303" s="39" t="n"/>
      <c r="P303" s="38">
        <f>IF(COUNTA(A303:D303)+COUNTA(F303:I303)+COUNTA(K303:O303)=0,"",IF(ISNUMBER(K303),AND(K303=INT(K303),K303&gt;=1,K303&lt;=3),FALSE)+IF(ISNUMBER(L303),AND(L303=INT(L303),L303&gt;=1,L303&lt;=3),FALSE)+IF(ISNUMBER(M303),AND(M303=INT(M303),M303&gt;=1,M303&lt;=3),FALSE)+IF(ISNUMBER(N303),AND(N303=INT(N303),N303&gt;=1,N303&lt;=3),FALSE)+IF(ISNUMBER(O303),AND(O303=INT(O303),O303&gt;=1,O303&lt;=3),FALSE))</f>
        <v/>
      </c>
      <c r="Q303" s="38">
        <f>IF(P303=5,SUM(K303:O303),"")</f>
        <v/>
      </c>
      <c r="R303" s="38">
        <f>IF(P303="","",IF(P303&lt;5,"Pendente",IF(NOT(cad_limites_ok),"Pendente",IF(K303=3,"A",IF(Q303&gt;=cad_limite_a,"A",IF(Q303&gt;=cad_limite_b,"B","C"))))))</f>
        <v/>
      </c>
      <c r="S303" s="40">
        <f>IF(P303="","",IF(A303="","Pendente: falta o ID do ativo",IF(COUNTIF(at_id,A303)&gt;1,"ERRO: ID do ativo duplicado",IF(COUNTA(K303:O303)&gt;P303,"Pendente: nota inválida (use inteiro de 1 a 3)",IF(P303&lt;5,"Pendente: falta(m) "&amp;(5-P303)&amp;" nota(s)",IF(NOT(cad_limites_ok),"Pendente: corrija os limites A/B em Critérios",IF(K303=3,"A por Segurança = 3","Classe pela soma e limites")))))))</f>
        <v/>
      </c>
    </row>
    <row r="304">
      <c r="A304" s="36" t="n"/>
      <c r="B304" s="36" t="n"/>
      <c r="C304" s="37" t="n"/>
      <c r="D304" s="36" t="n"/>
      <c r="E304" s="38">
        <f>IF(D304="","",IFERROR(INDEX(lst_tipo_nome,MATCH(D304,lst_tipo_id,0)),"Tipo não cadastrado em Listas"))</f>
        <v/>
      </c>
      <c r="F304" s="36" t="n"/>
      <c r="G304" s="36" t="n"/>
      <c r="H304" s="36" t="n"/>
      <c r="I304" s="39" t="n"/>
      <c r="J304" s="38">
        <f>IF(OR(B304="",D304="",H304="",I304=""),"",IF(B304=H304&amp;"-"&amp;IFERROR(INDEX(lst_tipo_sigla,MATCH(D304,lst_tipo_id,0)),"???")&amp;"-"&amp;RIGHT("00"&amp;I304,3),"OK","Verificar: TAG difere de setor-sigla-número"))</f>
        <v/>
      </c>
      <c r="K304" s="39" t="n"/>
      <c r="L304" s="39" t="n"/>
      <c r="M304" s="39" t="n"/>
      <c r="N304" s="39" t="n"/>
      <c r="O304" s="39" t="n"/>
      <c r="P304" s="38">
        <f>IF(COUNTA(A304:D304)+COUNTA(F304:I304)+COUNTA(K304:O304)=0,"",IF(ISNUMBER(K304),AND(K304=INT(K304),K304&gt;=1,K304&lt;=3),FALSE)+IF(ISNUMBER(L304),AND(L304=INT(L304),L304&gt;=1,L304&lt;=3),FALSE)+IF(ISNUMBER(M304),AND(M304=INT(M304),M304&gt;=1,M304&lt;=3),FALSE)+IF(ISNUMBER(N304),AND(N304=INT(N304),N304&gt;=1,N304&lt;=3),FALSE)+IF(ISNUMBER(O304),AND(O304=INT(O304),O304&gt;=1,O304&lt;=3),FALSE))</f>
        <v/>
      </c>
      <c r="Q304" s="38">
        <f>IF(P304=5,SUM(K304:O304),"")</f>
        <v/>
      </c>
      <c r="R304" s="38">
        <f>IF(P304="","",IF(P304&lt;5,"Pendente",IF(NOT(cad_limites_ok),"Pendente",IF(K304=3,"A",IF(Q304&gt;=cad_limite_a,"A",IF(Q304&gt;=cad_limite_b,"B","C"))))))</f>
        <v/>
      </c>
      <c r="S304" s="40">
        <f>IF(P304="","",IF(A304="","Pendente: falta o ID do ativo",IF(COUNTIF(at_id,A304)&gt;1,"ERRO: ID do ativo duplicado",IF(COUNTA(K304:O304)&gt;P304,"Pendente: nota inválida (use inteiro de 1 a 3)",IF(P304&lt;5,"Pendente: falta(m) "&amp;(5-P304)&amp;" nota(s)",IF(NOT(cad_limites_ok),"Pendente: corrija os limites A/B em Critérios",IF(K304=3,"A por Segurança = 3","Classe pela soma e limites")))))))</f>
        <v/>
      </c>
    </row>
    <row r="305">
      <c r="A305" s="36" t="n"/>
      <c r="B305" s="36" t="n"/>
      <c r="C305" s="37" t="n"/>
      <c r="D305" s="36" t="n"/>
      <c r="E305" s="38">
        <f>IF(D305="","",IFERROR(INDEX(lst_tipo_nome,MATCH(D305,lst_tipo_id,0)),"Tipo não cadastrado em Listas"))</f>
        <v/>
      </c>
      <c r="F305" s="36" t="n"/>
      <c r="G305" s="36" t="n"/>
      <c r="H305" s="36" t="n"/>
      <c r="I305" s="39" t="n"/>
      <c r="J305" s="38">
        <f>IF(OR(B305="",D305="",H305="",I305=""),"",IF(B305=H305&amp;"-"&amp;IFERROR(INDEX(lst_tipo_sigla,MATCH(D305,lst_tipo_id,0)),"???")&amp;"-"&amp;RIGHT("00"&amp;I305,3),"OK","Verificar: TAG difere de setor-sigla-número"))</f>
        <v/>
      </c>
      <c r="K305" s="39" t="n"/>
      <c r="L305" s="39" t="n"/>
      <c r="M305" s="39" t="n"/>
      <c r="N305" s="39" t="n"/>
      <c r="O305" s="39" t="n"/>
      <c r="P305" s="38">
        <f>IF(COUNTA(A305:D305)+COUNTA(F305:I305)+COUNTA(K305:O305)=0,"",IF(ISNUMBER(K305),AND(K305=INT(K305),K305&gt;=1,K305&lt;=3),FALSE)+IF(ISNUMBER(L305),AND(L305=INT(L305),L305&gt;=1,L305&lt;=3),FALSE)+IF(ISNUMBER(M305),AND(M305=INT(M305),M305&gt;=1,M305&lt;=3),FALSE)+IF(ISNUMBER(N305),AND(N305=INT(N305),N305&gt;=1,N305&lt;=3),FALSE)+IF(ISNUMBER(O305),AND(O305=INT(O305),O305&gt;=1,O305&lt;=3),FALSE))</f>
        <v/>
      </c>
      <c r="Q305" s="38">
        <f>IF(P305=5,SUM(K305:O305),"")</f>
        <v/>
      </c>
      <c r="R305" s="38">
        <f>IF(P305="","",IF(P305&lt;5,"Pendente",IF(NOT(cad_limites_ok),"Pendente",IF(K305=3,"A",IF(Q305&gt;=cad_limite_a,"A",IF(Q305&gt;=cad_limite_b,"B","C"))))))</f>
        <v/>
      </c>
      <c r="S305" s="40">
        <f>IF(P305="","",IF(A305="","Pendente: falta o ID do ativo",IF(COUNTIF(at_id,A305)&gt;1,"ERRO: ID do ativo duplicado",IF(COUNTA(K305:O305)&gt;P305,"Pendente: nota inválida (use inteiro de 1 a 3)",IF(P305&lt;5,"Pendente: falta(m) "&amp;(5-P305)&amp;" nota(s)",IF(NOT(cad_limites_ok),"Pendente: corrija os limites A/B em Critérios",IF(K305=3,"A por Segurança = 3","Classe pela soma e limites")))))))</f>
        <v/>
      </c>
    </row>
    <row r="306">
      <c r="A306" s="36" t="n"/>
      <c r="B306" s="36" t="n"/>
      <c r="C306" s="37" t="n"/>
      <c r="D306" s="36" t="n"/>
      <c r="E306" s="38">
        <f>IF(D306="","",IFERROR(INDEX(lst_tipo_nome,MATCH(D306,lst_tipo_id,0)),"Tipo não cadastrado em Listas"))</f>
        <v/>
      </c>
      <c r="F306" s="36" t="n"/>
      <c r="G306" s="36" t="n"/>
      <c r="H306" s="36" t="n"/>
      <c r="I306" s="39" t="n"/>
      <c r="J306" s="38">
        <f>IF(OR(B306="",D306="",H306="",I306=""),"",IF(B306=H306&amp;"-"&amp;IFERROR(INDEX(lst_tipo_sigla,MATCH(D306,lst_tipo_id,0)),"???")&amp;"-"&amp;RIGHT("00"&amp;I306,3),"OK","Verificar: TAG difere de setor-sigla-número"))</f>
        <v/>
      </c>
      <c r="K306" s="39" t="n"/>
      <c r="L306" s="39" t="n"/>
      <c r="M306" s="39" t="n"/>
      <c r="N306" s="39" t="n"/>
      <c r="O306" s="39" t="n"/>
      <c r="P306" s="38">
        <f>IF(COUNTA(A306:D306)+COUNTA(F306:I306)+COUNTA(K306:O306)=0,"",IF(ISNUMBER(K306),AND(K306=INT(K306),K306&gt;=1,K306&lt;=3),FALSE)+IF(ISNUMBER(L306),AND(L306=INT(L306),L306&gt;=1,L306&lt;=3),FALSE)+IF(ISNUMBER(M306),AND(M306=INT(M306),M306&gt;=1,M306&lt;=3),FALSE)+IF(ISNUMBER(N306),AND(N306=INT(N306),N306&gt;=1,N306&lt;=3),FALSE)+IF(ISNUMBER(O306),AND(O306=INT(O306),O306&gt;=1,O306&lt;=3),FALSE))</f>
        <v/>
      </c>
      <c r="Q306" s="38">
        <f>IF(P306=5,SUM(K306:O306),"")</f>
        <v/>
      </c>
      <c r="R306" s="38">
        <f>IF(P306="","",IF(P306&lt;5,"Pendente",IF(NOT(cad_limites_ok),"Pendente",IF(K306=3,"A",IF(Q306&gt;=cad_limite_a,"A",IF(Q306&gt;=cad_limite_b,"B","C"))))))</f>
        <v/>
      </c>
      <c r="S306" s="40">
        <f>IF(P306="","",IF(A306="","Pendente: falta o ID do ativo",IF(COUNTIF(at_id,A306)&gt;1,"ERRO: ID do ativo duplicado",IF(COUNTA(K306:O306)&gt;P306,"Pendente: nota inválida (use inteiro de 1 a 3)",IF(P306&lt;5,"Pendente: falta(m) "&amp;(5-P306)&amp;" nota(s)",IF(NOT(cad_limites_ok),"Pendente: corrija os limites A/B em Critérios",IF(K306=3,"A por Segurança = 3","Classe pela soma e limites")))))))</f>
        <v/>
      </c>
    </row>
  </sheetData>
  <autoFilter ref="A6:S306"/>
  <mergeCells count="5">
    <mergeCell ref="A4:B4"/>
    <mergeCell ref="C4:G4"/>
    <mergeCell ref="C2:G2"/>
    <mergeCell ref="C1:S1"/>
    <mergeCell ref="C3:G3"/>
  </mergeCells>
  <conditionalFormatting sqref="A4">
    <cfRule type="expression" priority="1" dxfId="0">
      <formula>LEFT(A4,7)="ATENÇÃO"</formula>
    </cfRule>
  </conditionalFormatting>
  <conditionalFormatting sqref="J7:J306">
    <cfRule type="expression" priority="2" dxfId="0" stopIfTrue="1">
      <formula>LEFT(J7,4)="ERRO"</formula>
    </cfRule>
    <cfRule type="expression" priority="3" dxfId="1" stopIfTrue="1">
      <formula>OR(LEFT(J7,8)="Pendente",LEFT(J7,9)="Verificar",LEFT(J7,9)="Duplicada",LEFT(J7,7)="Tarefa ",LEFT(J7,13)="Fora do plano",LEFT(J7,8)="Previsão",LEFT(J7,11)="Sem vínculo",LEFT(J7,14)="Não verificado",LEFT(J7,13)="Não informado",LEFT(J7,7)="Informe")</formula>
    </cfRule>
    <cfRule type="expression" priority="4" dxfId="2" stopIfTrue="1">
      <formula>OR(LEFT(J7,2)="OK",LEFT(J7,10)="Verificado",J7="Vinculada",J7="No plano atual",J7="Informado")</formula>
    </cfRule>
    <cfRule type="expression" priority="18" dxfId="3">
      <formula>$A7&lt;&gt;""</formula>
    </cfRule>
  </conditionalFormatting>
  <conditionalFormatting sqref="K7:K306">
    <cfRule type="colorScale" priority="5">
      <colorScale>
        <cfvo type="num" val="1"/>
        <cfvo type="num" val="2"/>
        <cfvo type="num" val="3"/>
        <color rgb="00E3F0E6"/>
        <color rgb="00FFF0C7"/>
        <color rgb="00F6CDD3"/>
      </colorScale>
    </cfRule>
  </conditionalFormatting>
  <conditionalFormatting sqref="L7:L306">
    <cfRule type="colorScale" priority="6">
      <colorScale>
        <cfvo type="num" val="1"/>
        <cfvo type="num" val="2"/>
        <cfvo type="num" val="3"/>
        <color rgb="00E3F0E6"/>
        <color rgb="00FFF0C7"/>
        <color rgb="00F6CDD3"/>
      </colorScale>
    </cfRule>
  </conditionalFormatting>
  <conditionalFormatting sqref="M7:M306">
    <cfRule type="colorScale" priority="7">
      <colorScale>
        <cfvo type="num" val="1"/>
        <cfvo type="num" val="2"/>
        <cfvo type="num" val="3"/>
        <color rgb="00E3F0E6"/>
        <color rgb="00FFF0C7"/>
        <color rgb="00F6CDD3"/>
      </colorScale>
    </cfRule>
  </conditionalFormatting>
  <conditionalFormatting sqref="N7:N306">
    <cfRule type="colorScale" priority="8">
      <colorScale>
        <cfvo type="num" val="1"/>
        <cfvo type="num" val="2"/>
        <cfvo type="num" val="3"/>
        <color rgb="00E3F0E6"/>
        <color rgb="00FFF0C7"/>
        <color rgb="00F6CDD3"/>
      </colorScale>
    </cfRule>
  </conditionalFormatting>
  <conditionalFormatting sqref="O7:O306">
    <cfRule type="colorScale" priority="9">
      <colorScale>
        <cfvo type="num" val="1"/>
        <cfvo type="num" val="2"/>
        <cfvo type="num" val="3"/>
        <color rgb="00E3F0E6"/>
        <color rgb="00FFF0C7"/>
        <color rgb="00F6CDD3"/>
      </colorScale>
    </cfRule>
  </conditionalFormatting>
  <conditionalFormatting sqref="R7:R306">
    <cfRule type="expression" priority="10" dxfId="4" stopIfTrue="1">
      <formula>R7="A"</formula>
    </cfRule>
    <cfRule type="expression" priority="11" dxfId="5" stopIfTrue="1">
      <formula>R7="B"</formula>
    </cfRule>
    <cfRule type="expression" priority="12" dxfId="6" stopIfTrue="1">
      <formula>R7="C"</formula>
    </cfRule>
    <cfRule type="expression" priority="13" dxfId="7" stopIfTrue="1">
      <formula>R7="Pendente"</formula>
    </cfRule>
    <cfRule type="expression" priority="21" dxfId="3">
      <formula>$A7&lt;&gt;""</formula>
    </cfRule>
  </conditionalFormatting>
  <conditionalFormatting sqref="S7:S306">
    <cfRule type="expression" priority="14" dxfId="0" stopIfTrue="1">
      <formula>LEFT(S7,4)="ERRO"</formula>
    </cfRule>
    <cfRule type="expression" priority="15" dxfId="1" stopIfTrue="1">
      <formula>OR(LEFT(S7,8)="Pendente",LEFT(S7,9)="Verificar",LEFT(S7,9)="Duplicada",LEFT(S7,7)="Tarefa ",LEFT(S7,13)="Fora do plano",LEFT(S7,8)="Previsão",LEFT(S7,11)="Sem vínculo",LEFT(S7,14)="Não verificado",LEFT(S7,13)="Não informado",LEFT(S7,7)="Informe")</formula>
    </cfRule>
    <cfRule type="expression" priority="16" dxfId="2" stopIfTrue="1">
      <formula>OR(LEFT(S7,2)="OK",LEFT(S7,10)="Verificado",S7="Vinculada",S7="No plano atual",S7="Informado")</formula>
    </cfRule>
    <cfRule type="expression" priority="22" dxfId="3">
      <formula>$A7&lt;&gt;""</formula>
    </cfRule>
  </conditionalFormatting>
  <conditionalFormatting sqref="E7:E306">
    <cfRule type="expression" priority="17" dxfId="3">
      <formula>$A7&lt;&gt;""</formula>
    </cfRule>
  </conditionalFormatting>
  <conditionalFormatting sqref="P7:P306">
    <cfRule type="expression" priority="19" dxfId="3">
      <formula>$A7&lt;&gt;""</formula>
    </cfRule>
  </conditionalFormatting>
  <conditionalFormatting sqref="Q7:Q306">
    <cfRule type="expression" priority="20" dxfId="3">
      <formula>$A7&lt;&gt;""</formula>
    </cfRule>
  </conditionalFormatting>
  <conditionalFormatting sqref="A7:S306">
    <cfRule type="expression" priority="23" dxfId="8">
      <formula>AND($A7&lt;&gt;"",MOD(ROW(),2)=0)</formula>
    </cfRule>
  </conditionalFormatting>
  <dataValidations count="9">
    <dataValidation sqref="A7:A3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D7:D306" showDropDown="0" showInputMessage="1" showErrorMessage="1" allowBlank="1" errorTitle="Valor não aceito" error="Use um tipo da aba Listas." promptTitle="Tipo (ID)" prompt="ID do tipo de equipamento da biblioteca." type="list">
      <formula1>=lst_tipo_id</formula1>
    </dataValidation>
    <dataValidation sqref="H7:H306" showDropDown="0" showInputMessage="1" showErrorMessage="1" allowBlank="1" errorTitle="Valor não aceito" error="Cadastre o setor em Cadastros (bloco Setores)." promptTitle="Setor (sigla)" prompt="Sigla do setor (2 a 4 letras/números)." type="list">
      <formula1>=cad_setor</formula1>
    </dataValidation>
    <dataValidation sqref="I7:I306" showDropDown="0" showInputMessage="1" showErrorMessage="1" allowBlank="1" errorTitle="Valor não aceito" error="Número inteiro de 1 a 999." promptTitle="Número" prompt="Número do ativo no setor e tipo (1 a 999)." type="whole" operator="between">
      <formula1>1</formula1>
      <formula2>999</formula2>
    </dataValidation>
    <dataValidation sqref="K7:K306" showDropDown="0" showInputMessage="1" showErrorMessage="1" allowBlank="1" errorTitle="Valor não aceito" error="A nota deve ser um número inteiro de 1 a 3. Deixe vazio se ainda não avaliou." promptTitle="N1 Segurança (1–3)" prompt="Inteiro de 1 a 3. Vazio = não avaliado (classe Pendente)." type="whole" operator="between">
      <formula1>1</formula1>
      <formula2>3</formula2>
    </dataValidation>
    <dataValidation sqref="L7:L306" showDropDown="0" showInputMessage="1" showErrorMessage="1" allowBlank="1" errorTitle="Valor não aceito" error="A nota deve ser um número inteiro de 1 a 3. Deixe vazio se ainda não avaliou." promptTitle="N2 Qualidade (1–3)" prompt="Inteiro de 1 a 3. Vazio = não avaliado (classe Pendente)." type="whole" operator="between">
      <formula1>1</formula1>
      <formula2>3</formula2>
    </dataValidation>
    <dataValidation sqref="M7:M306" showDropDown="0" showInputMessage="1" showErrorMessage="1" allowBlank="1" errorTitle="Valor não aceito" error="A nota deve ser um número inteiro de 1 a 3. Deixe vazio se ainda não avaliou." promptTitle="N3 Produção (1–3)" prompt="Inteiro de 1 a 3. Vazio = não avaliado (classe Pendente)." type="whole" operator="between">
      <formula1>1</formula1>
      <formula2>3</formula2>
    </dataValidation>
    <dataValidation sqref="N7:N306" showDropDown="0" showInputMessage="1" showErrorMessage="1" allowBlank="1" errorTitle="Valor não aceito" error="A nota deve ser um número inteiro de 1 a 3. Deixe vazio se ainda não avaliou." promptTitle="N4 Frequência de falha (1–3)" prompt="Inteiro de 1 a 3. Vazio = não avaliado (classe Pendente)." type="whole" operator="between">
      <formula1>1</formula1>
      <formula2>3</formula2>
    </dataValidation>
    <dataValidation sqref="O7:O306" showDropDown="0" showInputMessage="1" showErrorMessage="1" allowBlank="1" errorTitle="Valor não aceito" error="A nota deve ser um número inteiro de 1 a 3. Deixe vazio se ainda não avaliou." promptTitle="N5 Custo/tempo de reparo (1–3)" prompt="Inteiro de 1 a 3. Vazio = não avaliado (classe Pendente)." type="whole" operator="between">
      <formula1>1</formula1>
      <formula2>3</formula2>
    </dataValidation>
  </dataValidations>
  <pageMargins left="0.45" right="0.45" top="0.7" bottom="0.85" header="0.3" footer="0.3"/>
  <pageSetup orientation="landscape" paperSize="9" fitToHeight="0" fitToWidth="2" pageOrder="overThenDown"/>
  <headerFooter>
    <oddHeader>&amp;L&amp;"Arial,Bold"&amp;8 PCM Direto · PCMD-02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6" customWidth="1" min="5" max="5"/>
  </cols>
  <sheetData>
    <row r="1" ht="32" customHeight="1">
      <c r="A1" s="12" t="inlineStr">
        <is>
          <t>PCMD-02</t>
        </is>
      </c>
      <c r="B1" s="24" t="inlineStr">
        <is>
          <t>Critérios de criticidade</t>
        </is>
      </c>
      <c r="C1" s="3" t="n"/>
      <c r="D1" s="3" t="n"/>
      <c r="E1" s="3" t="n"/>
    </row>
    <row r="2" ht="20" customHeight="1">
      <c r="A2" s="25" t="inlineStr">
        <is>
          <t>Segurança = 3 → A; senão soma ≥ A → A; soma ≥ B → B; senão C. Nota ausente ou limite inválido → Pendente.</t>
        </is>
      </c>
    </row>
    <row r="3" ht="29.2" customHeight="1">
      <c r="A3" s="5" t="inlineStr">
        <is>
          <r>
            <rPr>
              <rFont val="Arial"/>
              <b val="1"/>
              <color rgb="005C4600"/>
              <sz val="8"/>
            </rPr>
            <t xml:space="preserve">AVISO  </t>
          </r>
          <r>
            <rPr>
              <rFont val="Arial"/>
              <color rgb="005C4600"/>
              <sz val="8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  <c r="B3" s="6" t="n"/>
      <c r="C3" s="6" t="n"/>
      <c r="D3" s="6" t="n"/>
      <c r="E3" s="6" t="n"/>
    </row>
    <row r="4" ht="20" customHeight="1">
      <c r="A4" s="27">
        <f>"Origem: "&amp;IF(pcmd_origem="","não informada",pcmd_origem)&amp;"   ·   Emissão: "&amp;IF(ISNUMBER(pcmd_emissao),RIGHT("0"&amp;DAY(pcmd_emissao),2)&amp;"/"&amp;RIGHT("0"&amp;MONTH(pcmd_emissao),2)&amp;"/"&amp;YEAR(pcmd_emissao),"não informada")</f>
        <v/>
      </c>
    </row>
    <row r="6" ht="30" customHeight="1">
      <c r="A6" s="34" t="inlineStr">
        <is>
          <t>Campo</t>
        </is>
      </c>
      <c r="B6" s="34" t="inlineStr">
        <is>
          <t>Valor</t>
        </is>
      </c>
      <c r="C6" s="35" t="inlineStr">
        <is>
          <t>Resultado</t>
        </is>
      </c>
      <c r="D6" s="34" t="inlineStr">
        <is>
          <t>Regra</t>
        </is>
      </c>
    </row>
    <row r="7" ht="22" customHeight="1">
      <c r="A7" s="20" t="inlineStr">
        <is>
          <t>Limite A (soma mínima)</t>
        </is>
      </c>
      <c r="B7" s="41" t="n">
        <v>12</v>
      </c>
      <c r="C7" s="11" t="n"/>
      <c r="D7" s="42" t="inlineStr">
        <is>
          <t>Inteiros com 5 ≤ B &lt; A ≤ 15.</t>
        </is>
      </c>
      <c r="E7" s="43" t="n"/>
    </row>
    <row r="8" ht="22" customHeight="1">
      <c r="A8" s="20" t="inlineStr">
        <is>
          <t>Limite B (soma mínima)</t>
        </is>
      </c>
      <c r="B8" s="41" t="n">
        <v>9</v>
      </c>
      <c r="C8" s="11" t="n"/>
      <c r="D8" s="42" t="inlineStr">
        <is>
          <t>Padrão inicial: A = 12 e B = 9.</t>
        </is>
      </c>
      <c r="E8" s="43" t="n"/>
    </row>
    <row r="9" ht="22" customHeight="1">
      <c r="A9" s="20" t="inlineStr">
        <is>
          <t>Limites válidos?</t>
        </is>
      </c>
      <c r="B9" s="44">
        <f>IF(AND(ISNUMBER(B7),ISNUMBER(B8)),AND(B7=INT(B7),B8=INT(B8),B8&gt;=5,B8&lt;B7,B7&lt;=15),FALSE)</f>
        <v/>
      </c>
      <c r="C9" s="44">
        <f>IF(B9,"OK: limites válidos","ERRO: Inválidos; use inteiros com 5 ≤ B &lt; A ≤ 15 (classes ficam Pendente)")</f>
        <v/>
      </c>
      <c r="D9" s="43" t="n"/>
      <c r="E9" s="43" t="n"/>
    </row>
    <row r="11" ht="22" customHeight="1">
      <c r="A11" s="7" t="inlineStr">
        <is>
          <t>Significado dos níveis (definido pelo mantenedor; o PCM Direto não define)</t>
        </is>
      </c>
      <c r="B11" s="8" t="n"/>
      <c r="C11" s="8" t="n"/>
      <c r="D11" s="8" t="n"/>
      <c r="E11" s="8" t="n"/>
    </row>
    <row r="12" ht="30" customHeight="1">
      <c r="A12" s="34" t="inlineStr">
        <is>
          <t>Critério</t>
        </is>
      </c>
      <c r="B12" s="34" t="inlineStr">
        <is>
          <t>Nível 1</t>
        </is>
      </c>
      <c r="C12" s="34" t="inlineStr">
        <is>
          <t>Nível 2</t>
        </is>
      </c>
      <c r="D12" s="34" t="inlineStr">
        <is>
          <t>Nível 3</t>
        </is>
      </c>
      <c r="E12" s="35" t="inlineStr">
        <is>
          <t>Situação</t>
        </is>
      </c>
    </row>
    <row r="13" ht="30" customHeight="1">
      <c r="A13" s="20" t="inlineStr">
        <is>
          <t>N1 Segurança</t>
        </is>
      </c>
      <c r="B13" s="21" t="n"/>
      <c r="C13" s="21" t="n"/>
      <c r="D13" s="21" t="n"/>
      <c r="E13" s="44">
        <f>IF(COUNTA(B13:D13)&lt;3,"Pendente: a definir pelo mantenedor","OK: definido")</f>
        <v/>
      </c>
    </row>
    <row r="14" ht="30" customHeight="1">
      <c r="A14" s="20" t="inlineStr">
        <is>
          <t>N2 Qualidade</t>
        </is>
      </c>
      <c r="B14" s="21" t="n"/>
      <c r="C14" s="21" t="n"/>
      <c r="D14" s="21" t="n"/>
      <c r="E14" s="44">
        <f>IF(COUNTA(B14:D14)&lt;3,"Pendente: a definir pelo mantenedor","OK: definido")</f>
        <v/>
      </c>
    </row>
    <row r="15" ht="30" customHeight="1">
      <c r="A15" s="20" t="inlineStr">
        <is>
          <t>N3 Produção</t>
        </is>
      </c>
      <c r="B15" s="21" t="n"/>
      <c r="C15" s="21" t="n"/>
      <c r="D15" s="21" t="n"/>
      <c r="E15" s="44">
        <f>IF(COUNTA(B15:D15)&lt;3,"Pendente: a definir pelo mantenedor","OK: definido")</f>
        <v/>
      </c>
    </row>
    <row r="16" ht="30" customHeight="1">
      <c r="A16" s="20" t="inlineStr">
        <is>
          <t>N4 Frequência de falha</t>
        </is>
      </c>
      <c r="B16" s="21" t="n"/>
      <c r="C16" s="21" t="n"/>
      <c r="D16" s="21" t="n"/>
      <c r="E16" s="44">
        <f>IF(COUNTA(B16:D16)&lt;3,"Pendente: a definir pelo mantenedor","OK: definido")</f>
        <v/>
      </c>
    </row>
    <row r="17" ht="30" customHeight="1">
      <c r="A17" s="20" t="inlineStr">
        <is>
          <t>N5 Custo/tempo de reparo</t>
        </is>
      </c>
      <c r="B17" s="21" t="n"/>
      <c r="C17" s="21" t="n"/>
      <c r="D17" s="21" t="n"/>
      <c r="E17" s="44">
        <f>IF(COUNTA(B17:D17)&lt;3,"Pendente: a definir pelo mantenedor","OK: definido")</f>
        <v/>
      </c>
    </row>
    <row r="19" ht="26" customHeight="1">
      <c r="A19" s="45" t="inlineStr">
        <is>
          <t>A classe não altera frequências, tarefas nem proteções de segurança. Qualquer mudança no plano é decisão registrada do profissional responsável.</t>
        </is>
      </c>
    </row>
  </sheetData>
  <mergeCells count="8">
    <mergeCell ref="D8:E8"/>
    <mergeCell ref="A4:E4"/>
    <mergeCell ref="B1:E1"/>
    <mergeCell ref="D7:E7"/>
    <mergeCell ref="A2:E2"/>
    <mergeCell ref="A19:E19"/>
    <mergeCell ref="C9:E9"/>
    <mergeCell ref="A3:E3"/>
  </mergeCells>
  <conditionalFormatting sqref="C9">
    <cfRule type="expression" priority="1" dxfId="0" stopIfTrue="1">
      <formula>LEFT(C9,4)="ERRO"</formula>
    </cfRule>
    <cfRule type="expression" priority="2" dxfId="1" stopIfTrue="1">
      <formula>OR(LEFT(C9,8)="Pendente",LEFT(C9,9)="Verificar",LEFT(C9,9)="Duplicada",LEFT(C9,7)="Tarefa ",LEFT(C9,13)="Fora do plano",LEFT(C9,8)="Previsão",LEFT(C9,11)="Sem vínculo",LEFT(C9,14)="Não verificado",LEFT(C9,13)="Não informado",LEFT(C9,7)="Informe")</formula>
    </cfRule>
    <cfRule type="expression" priority="3" dxfId="2" stopIfTrue="1">
      <formula>OR(LEFT(C9,2)="OK",LEFT(C9,10)="Verificado",C9="Vinculada",C9="No plano atual",C9="Informado")</formula>
    </cfRule>
  </conditionalFormatting>
  <conditionalFormatting sqref="E13:E17">
    <cfRule type="expression" priority="4" dxfId="0" stopIfTrue="1">
      <formula>LEFT(E13,4)="ERRO"</formula>
    </cfRule>
    <cfRule type="expression" priority="5" dxfId="1" stopIfTrue="1">
      <formula>OR(LEFT(E13,8)="Pendente",LEFT(E13,9)="Verificar",LEFT(E13,9)="Duplicada",LEFT(E13,7)="Tarefa ",LEFT(E13,13)="Fora do plano",LEFT(E13,8)="Previsão",LEFT(E13,11)="Sem vínculo",LEFT(E13,14)="Não verificado",LEFT(E13,13)="Não informado",LEFT(E13,7)="Informe")</formula>
    </cfRule>
    <cfRule type="expression" priority="6" dxfId="2" stopIfTrue="1">
      <formula>OR(LEFT(E13,2)="OK",LEFT(E13,10)="Verificado",E13="Vinculada",E13="No plano atual",E13="Informado")</formula>
    </cfRule>
  </conditionalFormatting>
  <dataValidations count="1">
    <dataValidation sqref="B7:B8" showDropDown="0" showInputMessage="0" showErrorMessage="1" allowBlank="0" errorTitle="Limite não aceito" error="Use inteiro entre 5 e 15, com B menor que A." type="whole" operator="between">
      <formula1>5</formula1>
      <formula2>15</formula2>
    </dataValidation>
  </dataValidations>
  <pageMargins left="0.45" right="0.45" top="0.7" bottom="0.85" header="0.3" footer="0.3"/>
  <pageSetup orientation="portrait" paperSize="9" fitToHeight="0" fitToWidth="1" pageOrder="overThenDown"/>
  <headerFooter>
    <oddHeader>&amp;L&amp;"Arial,Bold"&amp;8 PCM Direto · PCMD-02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</cols>
  <sheetData>
    <row r="1" ht="32" customHeight="1">
      <c r="A1" s="12" t="inlineStr">
        <is>
          <t>PCMD-02</t>
        </is>
      </c>
      <c r="B1" s="24" t="inlineStr">
        <is>
          <t>Setores</t>
        </is>
      </c>
      <c r="C1" s="3" t="n"/>
    </row>
    <row r="2" ht="20" customHeight="1">
      <c r="A2" s="25" t="inlineStr">
        <is>
          <t>Siglas de 2 a 4 letras ou números usadas na TAG (SETOR-SIGLA-NNN).</t>
        </is>
      </c>
    </row>
    <row r="3" ht="29.2" customHeight="1">
      <c r="A3" s="5" t="inlineStr">
        <is>
          <r>
            <rPr>
              <rFont val="Arial"/>
              <b val="1"/>
              <color rgb="005C4600"/>
              <sz val="8"/>
            </rPr>
            <t xml:space="preserve">AVISO  </t>
          </r>
          <r>
            <rPr>
              <rFont val="Arial"/>
              <color rgb="005C4600"/>
              <sz val="8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  <c r="B3" s="6" t="n"/>
      <c r="C3" s="6" t="n"/>
    </row>
    <row r="4" ht="20" customHeight="1">
      <c r="A4" s="27">
        <f>"Origem: "&amp;IF(pcmd_origem="","não informada",pcmd_origem)&amp;"   ·   Emissão: "&amp;IF(ISNUMBER(pcmd_emissao),RIGHT("0"&amp;DAY(pcmd_emissao),2)&amp;"/"&amp;RIGHT("0"&amp;MONTH(pcmd_emissao),2)&amp;"/"&amp;YEAR(pcmd_emissao),"não informada")</f>
        <v/>
      </c>
      <c r="C4" s="46">
        <f>IF(COUNTA(A37:A2036)&gt;0,"ATENÇÃO: dados além da linha 36","Linhas: "&amp;COUNTA(A7:A36)&amp;" de 30"&amp;IF(COUNTIF(C7:C36,"ERRO*")&gt;0,"   ·   "&amp;COUNTIF(C7:C36,"ERRO*")&amp;" com ERRO",""))</f>
        <v/>
      </c>
    </row>
    <row r="5" ht="14" customHeight="1">
      <c r="A5" s="32" t="inlineStr">
        <is>
          <t>PREENCHER</t>
        </is>
      </c>
      <c r="B5" s="32" t="inlineStr">
        <is>
          <t>PREENCHER</t>
        </is>
      </c>
      <c r="C5" s="33" t="inlineStr">
        <is>
          <t>AUTOMÁTICO</t>
        </is>
      </c>
    </row>
    <row r="6" ht="30" customHeight="1">
      <c r="A6" s="34" t="inlineStr">
        <is>
          <t>Sigla do setor</t>
        </is>
      </c>
      <c r="B6" s="34" t="inlineStr">
        <is>
          <t>Descrição do setor</t>
        </is>
      </c>
      <c r="C6" s="35" t="inlineStr">
        <is>
          <t>Conferência</t>
        </is>
      </c>
    </row>
    <row r="7">
      <c r="A7" s="36" t="n"/>
      <c r="B7" s="37" t="n"/>
      <c r="C7" s="40">
        <f>IF(A7="","",IF(OR(LEN(A7)&lt;2,LEN(A7)&gt;4),"ERRO: use 2 a 4 caracteres",IF(COUNTIF(cad_setor,A7)&gt;1,"ERRO: sigla repetida","OK")))</f>
        <v/>
      </c>
    </row>
    <row r="8">
      <c r="A8" s="36" t="n"/>
      <c r="B8" s="37" t="n"/>
      <c r="C8" s="40">
        <f>IF(A8="","",IF(OR(LEN(A8)&lt;2,LEN(A8)&gt;4),"ERRO: use 2 a 4 caracteres",IF(COUNTIF(cad_setor,A8)&gt;1,"ERRO: sigla repetida","OK")))</f>
        <v/>
      </c>
    </row>
    <row r="9">
      <c r="A9" s="36" t="n"/>
      <c r="B9" s="37" t="n"/>
      <c r="C9" s="40">
        <f>IF(A9="","",IF(OR(LEN(A9)&lt;2,LEN(A9)&gt;4),"ERRO: use 2 a 4 caracteres",IF(COUNTIF(cad_setor,A9)&gt;1,"ERRO: sigla repetida","OK")))</f>
        <v/>
      </c>
    </row>
    <row r="10">
      <c r="A10" s="36" t="n"/>
      <c r="B10" s="37" t="n"/>
      <c r="C10" s="40">
        <f>IF(A10="","",IF(OR(LEN(A10)&lt;2,LEN(A10)&gt;4),"ERRO: use 2 a 4 caracteres",IF(COUNTIF(cad_setor,A10)&gt;1,"ERRO: sigla repetida","OK")))</f>
        <v/>
      </c>
    </row>
    <row r="11">
      <c r="A11" s="36" t="n"/>
      <c r="B11" s="37" t="n"/>
      <c r="C11" s="40">
        <f>IF(A11="","",IF(OR(LEN(A11)&lt;2,LEN(A11)&gt;4),"ERRO: use 2 a 4 caracteres",IF(COUNTIF(cad_setor,A11)&gt;1,"ERRO: sigla repetida","OK")))</f>
        <v/>
      </c>
    </row>
    <row r="12">
      <c r="A12" s="36" t="n"/>
      <c r="B12" s="37" t="n"/>
      <c r="C12" s="40">
        <f>IF(A12="","",IF(OR(LEN(A12)&lt;2,LEN(A12)&gt;4),"ERRO: use 2 a 4 caracteres",IF(COUNTIF(cad_setor,A12)&gt;1,"ERRO: sigla repetida","OK")))</f>
        <v/>
      </c>
    </row>
    <row r="13">
      <c r="A13" s="36" t="n"/>
      <c r="B13" s="37" t="n"/>
      <c r="C13" s="40">
        <f>IF(A13="","",IF(OR(LEN(A13)&lt;2,LEN(A13)&gt;4),"ERRO: use 2 a 4 caracteres",IF(COUNTIF(cad_setor,A13)&gt;1,"ERRO: sigla repetida","OK")))</f>
        <v/>
      </c>
    </row>
    <row r="14">
      <c r="A14" s="36" t="n"/>
      <c r="B14" s="37" t="n"/>
      <c r="C14" s="40">
        <f>IF(A14="","",IF(OR(LEN(A14)&lt;2,LEN(A14)&gt;4),"ERRO: use 2 a 4 caracteres",IF(COUNTIF(cad_setor,A14)&gt;1,"ERRO: sigla repetida","OK")))</f>
        <v/>
      </c>
    </row>
    <row r="15">
      <c r="A15" s="36" t="n"/>
      <c r="B15" s="37" t="n"/>
      <c r="C15" s="40">
        <f>IF(A15="","",IF(OR(LEN(A15)&lt;2,LEN(A15)&gt;4),"ERRO: use 2 a 4 caracteres",IF(COUNTIF(cad_setor,A15)&gt;1,"ERRO: sigla repetida","OK")))</f>
        <v/>
      </c>
    </row>
    <row r="16">
      <c r="A16" s="36" t="n"/>
      <c r="B16" s="37" t="n"/>
      <c r="C16" s="40">
        <f>IF(A16="","",IF(OR(LEN(A16)&lt;2,LEN(A16)&gt;4),"ERRO: use 2 a 4 caracteres",IF(COUNTIF(cad_setor,A16)&gt;1,"ERRO: sigla repetida","OK")))</f>
        <v/>
      </c>
    </row>
    <row r="17">
      <c r="A17" s="36" t="n"/>
      <c r="B17" s="37" t="n"/>
      <c r="C17" s="40">
        <f>IF(A17="","",IF(OR(LEN(A17)&lt;2,LEN(A17)&gt;4),"ERRO: use 2 a 4 caracteres",IF(COUNTIF(cad_setor,A17)&gt;1,"ERRO: sigla repetida","OK")))</f>
        <v/>
      </c>
    </row>
    <row r="18">
      <c r="A18" s="36" t="n"/>
      <c r="B18" s="37" t="n"/>
      <c r="C18" s="40">
        <f>IF(A18="","",IF(OR(LEN(A18)&lt;2,LEN(A18)&gt;4),"ERRO: use 2 a 4 caracteres",IF(COUNTIF(cad_setor,A18)&gt;1,"ERRO: sigla repetida","OK")))</f>
        <v/>
      </c>
    </row>
    <row r="19">
      <c r="A19" s="36" t="n"/>
      <c r="B19" s="37" t="n"/>
      <c r="C19" s="40">
        <f>IF(A19="","",IF(OR(LEN(A19)&lt;2,LEN(A19)&gt;4),"ERRO: use 2 a 4 caracteres",IF(COUNTIF(cad_setor,A19)&gt;1,"ERRO: sigla repetida","OK")))</f>
        <v/>
      </c>
    </row>
    <row r="20">
      <c r="A20" s="36" t="n"/>
      <c r="B20" s="37" t="n"/>
      <c r="C20" s="40">
        <f>IF(A20="","",IF(OR(LEN(A20)&lt;2,LEN(A20)&gt;4),"ERRO: use 2 a 4 caracteres",IF(COUNTIF(cad_setor,A20)&gt;1,"ERRO: sigla repetida","OK")))</f>
        <v/>
      </c>
    </row>
    <row r="21">
      <c r="A21" s="36" t="n"/>
      <c r="B21" s="37" t="n"/>
      <c r="C21" s="40">
        <f>IF(A21="","",IF(OR(LEN(A21)&lt;2,LEN(A21)&gt;4),"ERRO: use 2 a 4 caracteres",IF(COUNTIF(cad_setor,A21)&gt;1,"ERRO: sigla repetida","OK")))</f>
        <v/>
      </c>
    </row>
    <row r="22">
      <c r="A22" s="36" t="n"/>
      <c r="B22" s="37" t="n"/>
      <c r="C22" s="40">
        <f>IF(A22="","",IF(OR(LEN(A22)&lt;2,LEN(A22)&gt;4),"ERRO: use 2 a 4 caracteres",IF(COUNTIF(cad_setor,A22)&gt;1,"ERRO: sigla repetida","OK")))</f>
        <v/>
      </c>
    </row>
    <row r="23">
      <c r="A23" s="36" t="n"/>
      <c r="B23" s="37" t="n"/>
      <c r="C23" s="40">
        <f>IF(A23="","",IF(OR(LEN(A23)&lt;2,LEN(A23)&gt;4),"ERRO: use 2 a 4 caracteres",IF(COUNTIF(cad_setor,A23)&gt;1,"ERRO: sigla repetida","OK")))</f>
        <v/>
      </c>
    </row>
    <row r="24">
      <c r="A24" s="36" t="n"/>
      <c r="B24" s="37" t="n"/>
      <c r="C24" s="40">
        <f>IF(A24="","",IF(OR(LEN(A24)&lt;2,LEN(A24)&gt;4),"ERRO: use 2 a 4 caracteres",IF(COUNTIF(cad_setor,A24)&gt;1,"ERRO: sigla repetida","OK")))</f>
        <v/>
      </c>
    </row>
    <row r="25">
      <c r="A25" s="36" t="n"/>
      <c r="B25" s="37" t="n"/>
      <c r="C25" s="40">
        <f>IF(A25="","",IF(OR(LEN(A25)&lt;2,LEN(A25)&gt;4),"ERRO: use 2 a 4 caracteres",IF(COUNTIF(cad_setor,A25)&gt;1,"ERRO: sigla repetida","OK")))</f>
        <v/>
      </c>
    </row>
    <row r="26">
      <c r="A26" s="36" t="n"/>
      <c r="B26" s="37" t="n"/>
      <c r="C26" s="40">
        <f>IF(A26="","",IF(OR(LEN(A26)&lt;2,LEN(A26)&gt;4),"ERRO: use 2 a 4 caracteres",IF(COUNTIF(cad_setor,A26)&gt;1,"ERRO: sigla repetida","OK")))</f>
        <v/>
      </c>
    </row>
    <row r="27">
      <c r="A27" s="36" t="n"/>
      <c r="B27" s="37" t="n"/>
      <c r="C27" s="40">
        <f>IF(A27="","",IF(OR(LEN(A27)&lt;2,LEN(A27)&gt;4),"ERRO: use 2 a 4 caracteres",IF(COUNTIF(cad_setor,A27)&gt;1,"ERRO: sigla repetida","OK")))</f>
        <v/>
      </c>
    </row>
    <row r="28">
      <c r="A28" s="36" t="n"/>
      <c r="B28" s="37" t="n"/>
      <c r="C28" s="40">
        <f>IF(A28="","",IF(OR(LEN(A28)&lt;2,LEN(A28)&gt;4),"ERRO: use 2 a 4 caracteres",IF(COUNTIF(cad_setor,A28)&gt;1,"ERRO: sigla repetida","OK")))</f>
        <v/>
      </c>
    </row>
    <row r="29">
      <c r="A29" s="36" t="n"/>
      <c r="B29" s="37" t="n"/>
      <c r="C29" s="40">
        <f>IF(A29="","",IF(OR(LEN(A29)&lt;2,LEN(A29)&gt;4),"ERRO: use 2 a 4 caracteres",IF(COUNTIF(cad_setor,A29)&gt;1,"ERRO: sigla repetida","OK")))</f>
        <v/>
      </c>
    </row>
    <row r="30">
      <c r="A30" s="36" t="n"/>
      <c r="B30" s="37" t="n"/>
      <c r="C30" s="40">
        <f>IF(A30="","",IF(OR(LEN(A30)&lt;2,LEN(A30)&gt;4),"ERRO: use 2 a 4 caracteres",IF(COUNTIF(cad_setor,A30)&gt;1,"ERRO: sigla repetida","OK")))</f>
        <v/>
      </c>
    </row>
    <row r="31">
      <c r="A31" s="36" t="n"/>
      <c r="B31" s="37" t="n"/>
      <c r="C31" s="40">
        <f>IF(A31="","",IF(OR(LEN(A31)&lt;2,LEN(A31)&gt;4),"ERRO: use 2 a 4 caracteres",IF(COUNTIF(cad_setor,A31)&gt;1,"ERRO: sigla repetida","OK")))</f>
        <v/>
      </c>
    </row>
    <row r="32">
      <c r="A32" s="36" t="n"/>
      <c r="B32" s="37" t="n"/>
      <c r="C32" s="40">
        <f>IF(A32="","",IF(OR(LEN(A32)&lt;2,LEN(A32)&gt;4),"ERRO: use 2 a 4 caracteres",IF(COUNTIF(cad_setor,A32)&gt;1,"ERRO: sigla repetida","OK")))</f>
        <v/>
      </c>
    </row>
    <row r="33">
      <c r="A33" s="36" t="n"/>
      <c r="B33" s="37" t="n"/>
      <c r="C33" s="40">
        <f>IF(A33="","",IF(OR(LEN(A33)&lt;2,LEN(A33)&gt;4),"ERRO: use 2 a 4 caracteres",IF(COUNTIF(cad_setor,A33)&gt;1,"ERRO: sigla repetida","OK")))</f>
        <v/>
      </c>
    </row>
    <row r="34">
      <c r="A34" s="36" t="n"/>
      <c r="B34" s="37" t="n"/>
      <c r="C34" s="40">
        <f>IF(A34="","",IF(OR(LEN(A34)&lt;2,LEN(A34)&gt;4),"ERRO: use 2 a 4 caracteres",IF(COUNTIF(cad_setor,A34)&gt;1,"ERRO: sigla repetida","OK")))</f>
        <v/>
      </c>
    </row>
    <row r="35">
      <c r="A35" s="36" t="n"/>
      <c r="B35" s="37" t="n"/>
      <c r="C35" s="40">
        <f>IF(A35="","",IF(OR(LEN(A35)&lt;2,LEN(A35)&gt;4),"ERRO: use 2 a 4 caracteres",IF(COUNTIF(cad_setor,A35)&gt;1,"ERRO: sigla repetida","OK")))</f>
        <v/>
      </c>
    </row>
    <row r="36">
      <c r="A36" s="36" t="n"/>
      <c r="B36" s="37" t="n"/>
      <c r="C36" s="40">
        <f>IF(A36="","",IF(OR(LEN(A36)&lt;2,LEN(A36)&gt;4),"ERRO: use 2 a 4 caracteres",IF(COUNTIF(cad_setor,A36)&gt;1,"ERRO: sigla repetida","OK")))</f>
        <v/>
      </c>
    </row>
  </sheetData>
  <autoFilter ref="A6:C36"/>
  <mergeCells count="4">
    <mergeCell ref="A4:B4"/>
    <mergeCell ref="B1:C1"/>
    <mergeCell ref="A3:C3"/>
    <mergeCell ref="A2:C2"/>
  </mergeCells>
  <conditionalFormatting sqref="C4">
    <cfRule type="expression" priority="1" dxfId="0">
      <formula>LEFT(C4,7)="ATENÇÃO"</formula>
    </cfRule>
  </conditionalFormatting>
  <conditionalFormatting sqref="C7:C36">
    <cfRule type="expression" priority="2" dxfId="0" stopIfTrue="1">
      <formula>LEFT(C7,4)="ERRO"</formula>
    </cfRule>
    <cfRule type="expression" priority="3" dxfId="1" stopIfTrue="1">
      <formula>OR(LEFT(C7,8)="Pendente",LEFT(C7,9)="Verificar",LEFT(C7,9)="Duplicada",LEFT(C7,7)="Tarefa ",LEFT(C7,13)="Fora do plano",LEFT(C7,8)="Previsão",LEFT(C7,11)="Sem vínculo",LEFT(C7,14)="Não verificado",LEFT(C7,13)="Não informado",LEFT(C7,7)="Informe")</formula>
    </cfRule>
    <cfRule type="expression" priority="4" dxfId="2" stopIfTrue="1">
      <formula>OR(LEFT(C7,2)="OK",LEFT(C7,10)="Verificado",C7="Vinculada",C7="No plano atual",C7="Informado")</formula>
    </cfRule>
    <cfRule type="expression" priority="5" dxfId="3">
      <formula>$A7&lt;&gt;""</formula>
    </cfRule>
  </conditionalFormatting>
  <conditionalFormatting sqref="A7:C36">
    <cfRule type="expression" priority="6" dxfId="8">
      <formula>AND($A7&lt;&gt;"",MOD(ROW(),2)=0)</formula>
    </cfRule>
  </conditionalFormatting>
  <pageMargins left="0.45" right="0.45" top="0.7" bottom="0.85" header="0.3" footer="0.3"/>
  <pageSetup orientation="portrait" paperSize="9" fitToHeight="0" fitToWidth="1" pageOrder="overThenDown"/>
  <headerFooter>
    <oddHeader>&amp;L&amp;"Arial,Bold"&amp;8 PCM Direto · PCMD-02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2" customWidth="1" min="4" max="4"/>
  </cols>
  <sheetData>
    <row r="1" ht="32" customHeight="1">
      <c r="A1" s="12" t="inlineStr">
        <is>
          <t>PCMD-02</t>
        </is>
      </c>
      <c r="B1" s="24" t="inlineStr">
        <is>
          <t>Listas</t>
        </is>
      </c>
      <c r="C1" s="3" t="n"/>
    </row>
    <row r="2" ht="33.55" customHeight="1">
      <c r="A2" s="25" t="inlineStr">
        <is>
          <t>Valores aceitos nas listas suspensas. Ao acrescentar itens, mantenha-os dentro dos intervalos nomeados.</t>
        </is>
      </c>
    </row>
    <row r="3" ht="52.4" customHeight="1">
      <c r="A3" s="5" t="inlineStr">
        <is>
          <r>
            <rPr>
              <rFont val="Arial"/>
              <b val="1"/>
              <color rgb="005C4600"/>
              <sz val="8"/>
            </rPr>
            <t xml:space="preserve">AVISO  </t>
          </r>
          <r>
            <rPr>
              <rFont val="Arial"/>
              <color rgb="005C4600"/>
              <sz val="8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  <c r="B3" s="6" t="n"/>
      <c r="C3" s="6" t="n"/>
    </row>
    <row r="4" ht="20" customHeight="1">
      <c r="A4" s="27">
        <f>"Origem: "&amp;IF(pcmd_origem="","não informada",pcmd_origem)&amp;"   ·   Emissão: "&amp;IF(ISNUMBER(pcmd_emissao),RIGHT("0"&amp;DAY(pcmd_emissao),2)&amp;"/"&amp;RIGHT("0"&amp;MONTH(pcmd_emissao),2)&amp;"/"&amp;YEAR(pcmd_emissao),"não informada")</f>
        <v/>
      </c>
    </row>
    <row r="5" ht="14" customHeight="1">
      <c r="A5" s="47" t="inlineStr">
        <is>
          <t>REFERÊNCIA</t>
        </is>
      </c>
      <c r="B5" s="47" t="inlineStr">
        <is>
          <t>REFERÊNCIA</t>
        </is>
      </c>
      <c r="C5" s="47" t="inlineStr">
        <is>
          <t>REFERÊNCIA</t>
        </is>
      </c>
    </row>
    <row r="6" ht="30" customHeight="1">
      <c r="A6" s="48" t="inlineStr">
        <is>
          <t>Tipo (ID)</t>
        </is>
      </c>
      <c r="B6" s="48" t="inlineStr">
        <is>
          <t>Tipo (nome)</t>
        </is>
      </c>
      <c r="C6" s="48" t="inlineStr">
        <is>
          <t>Sigla</t>
        </is>
      </c>
    </row>
    <row r="7">
      <c r="A7" s="49" t="inlineStr">
        <is>
          <t>motor_eletrico</t>
        </is>
      </c>
      <c r="B7" s="49" t="inlineStr">
        <is>
          <t>Motor elétrico</t>
        </is>
      </c>
      <c r="C7" s="49" t="inlineStr">
        <is>
          <t>MOT</t>
        </is>
      </c>
    </row>
    <row r="8">
      <c r="A8" s="49" t="inlineStr">
        <is>
          <t>compressor_ar</t>
        </is>
      </c>
      <c r="B8" s="49" t="inlineStr">
        <is>
          <t>Compressor de ar</t>
        </is>
      </c>
      <c r="C8" s="49" t="inlineStr">
        <is>
          <t>CMP</t>
        </is>
      </c>
    </row>
    <row r="9">
      <c r="A9" s="49" t="inlineStr">
        <is>
          <t>bomba_centrifuga</t>
        </is>
      </c>
      <c r="B9" s="49" t="inlineStr">
        <is>
          <t>Bomba centrífuga</t>
        </is>
      </c>
      <c r="C9" s="49" t="inlineStr">
        <is>
          <t>BCF</t>
        </is>
      </c>
    </row>
    <row r="10">
      <c r="A10" s="49" t="inlineStr">
        <is>
          <t>ponte_rolante</t>
        </is>
      </c>
      <c r="B10" s="49" t="inlineStr">
        <is>
          <t>Ponte rolante</t>
        </is>
      </c>
      <c r="C10" s="49" t="inlineStr">
        <is>
          <t>PRL</t>
        </is>
      </c>
    </row>
    <row r="11">
      <c r="A11" s="49" t="n"/>
      <c r="B11" s="49" t="n"/>
      <c r="C11" s="49" t="n"/>
    </row>
    <row r="12">
      <c r="A12" s="49" t="n"/>
      <c r="B12" s="49" t="n"/>
      <c r="C12" s="49" t="n"/>
    </row>
    <row r="13">
      <c r="A13" s="49" t="n"/>
      <c r="B13" s="49" t="n"/>
      <c r="C13" s="49" t="n"/>
    </row>
    <row r="14">
      <c r="A14" s="49" t="n"/>
      <c r="B14" s="49" t="n"/>
      <c r="C14" s="49" t="n"/>
    </row>
    <row r="15">
      <c r="A15" s="49" t="n"/>
      <c r="B15" s="49" t="n"/>
      <c r="C15" s="49" t="n"/>
    </row>
    <row r="16">
      <c r="A16" s="49" t="n"/>
      <c r="B16" s="49" t="n"/>
      <c r="C16" s="49" t="n"/>
    </row>
    <row r="17">
      <c r="A17" s="49" t="n"/>
      <c r="B17" s="49" t="n"/>
      <c r="C17" s="49" t="n"/>
    </row>
    <row r="18">
      <c r="A18" s="49" t="n"/>
      <c r="B18" s="49" t="n"/>
      <c r="C18" s="49" t="n"/>
    </row>
    <row r="19">
      <c r="A19" s="49" t="n"/>
      <c r="B19" s="49" t="n"/>
      <c r="C19" s="49" t="n"/>
    </row>
    <row r="20">
      <c r="A20" s="49" t="n"/>
      <c r="B20" s="49" t="n"/>
      <c r="C20" s="49" t="n"/>
    </row>
    <row r="21">
      <c r="A21" s="49" t="n"/>
      <c r="B21" s="49" t="n"/>
      <c r="C21" s="49" t="n"/>
    </row>
    <row r="22">
      <c r="A22" s="49" t="n"/>
      <c r="B22" s="49" t="n"/>
      <c r="C22" s="49" t="n"/>
    </row>
    <row r="23">
      <c r="A23" s="49" t="n"/>
      <c r="B23" s="49" t="n"/>
      <c r="C23" s="49" t="n"/>
    </row>
    <row r="24">
      <c r="A24" s="49" t="n"/>
      <c r="B24" s="49" t="n"/>
      <c r="C24" s="49" t="n"/>
    </row>
    <row r="25">
      <c r="A25" s="49" t="n"/>
      <c r="B25" s="49" t="n"/>
      <c r="C25" s="49" t="n"/>
    </row>
    <row r="26">
      <c r="A26" s="49" t="n"/>
      <c r="B26" s="49" t="n"/>
      <c r="C26" s="49" t="n"/>
    </row>
    <row r="27">
      <c r="A27" s="49" t="n"/>
      <c r="B27" s="49" t="n"/>
      <c r="C27" s="49" t="n"/>
    </row>
    <row r="28">
      <c r="A28" s="49" t="n"/>
      <c r="B28" s="49" t="n"/>
      <c r="C28" s="49" t="n"/>
    </row>
    <row r="29">
      <c r="A29" s="49" t="n"/>
      <c r="B29" s="49" t="n"/>
      <c r="C29" s="49" t="n"/>
    </row>
    <row r="30">
      <c r="A30" s="49" t="n"/>
      <c r="B30" s="49" t="n"/>
      <c r="C30" s="49" t="n"/>
    </row>
    <row r="31">
      <c r="A31" s="49" t="n"/>
      <c r="B31" s="49" t="n"/>
      <c r="C31" s="49" t="n"/>
    </row>
    <row r="32">
      <c r="A32" s="49" t="n"/>
      <c r="B32" s="49" t="n"/>
      <c r="C32" s="49" t="n"/>
    </row>
    <row r="33">
      <c r="A33" s="49" t="n"/>
      <c r="B33" s="49" t="n"/>
      <c r="C33" s="49" t="n"/>
    </row>
    <row r="34">
      <c r="A34" s="49" t="n"/>
      <c r="B34" s="49" t="n"/>
      <c r="C34" s="49" t="n"/>
    </row>
    <row r="35">
      <c r="A35" s="49" t="n"/>
      <c r="B35" s="49" t="n"/>
      <c r="C35" s="49" t="n"/>
    </row>
    <row r="36">
      <c r="A36" s="49" t="n"/>
      <c r="B36" s="49" t="n"/>
      <c r="C36" s="49" t="n"/>
    </row>
  </sheetData>
  <mergeCells count="4">
    <mergeCell ref="B1:C1"/>
    <mergeCell ref="A4:C4"/>
    <mergeCell ref="A3:C3"/>
    <mergeCell ref="A2:C2"/>
  </mergeCells>
  <pageMargins left="0.45" right="0.45" top="0.7" bottom="0.85" header="0.3" footer="0.3"/>
  <pageSetup orientation="portrait" paperSize="9" fitToHeight="0" fitToWidth="1" pageOrder="overThenDown"/>
  <headerFooter>
    <oddHeader>&amp;L&amp;"Arial,Bold"&amp;8 PCM Direto · PCMD-02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PCMD-02 Ativos e criticidade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2026-10-23T03:49:10Z</dcterms:modified>
  <cp:keywords>PCM Direto; modelo 1.0.0; licença MIT</cp:keywords>
</cp:coreProperties>
</file>